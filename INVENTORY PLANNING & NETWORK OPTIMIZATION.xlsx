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Central Retail in Vietnam\"/>
    </mc:Choice>
  </mc:AlternateContent>
  <xr:revisionPtr revIDLastSave="0" documentId="13_ncr:1_{0EB90549-D16E-49E5-9AC6-492C07116435}" xr6:coauthVersionLast="47" xr6:coauthVersionMax="47" xr10:uidLastSave="{00000000-0000-0000-0000-000000000000}"/>
  <bookViews>
    <workbookView xWindow="-108" yWindow="-108" windowWidth="23256" windowHeight="12456" activeTab="4" xr2:uid="{A2CA2772-E309-4C0E-8248-7DA708D555C4}"/>
  </bookViews>
  <sheets>
    <sheet name="opt_demand" sheetId="9" r:id="rId1"/>
    <sheet name="df_test" sheetId="8" r:id="rId2"/>
    <sheet name="df_train" sheetId="7" r:id="rId3"/>
    <sheet name="df_sample" sheetId="11" r:id="rId4"/>
    <sheet name="inv_cal" sheetId="3" r:id="rId5"/>
    <sheet name="inv_chart" sheetId="2" r:id="rId6"/>
  </sheets>
  <definedNames>
    <definedName name="_xlchart.v1.0" hidden="1">inv_chart!$A$1</definedName>
    <definedName name="_xlchart.v1.1" hidden="1">inv_chart!$A$2:$A$63</definedName>
    <definedName name="_xlchart.v1.2" hidden="1">inv_chart!$B$1</definedName>
    <definedName name="_xlchart.v1.3" hidden="1">inv_chart!$B$2:$B$63</definedName>
    <definedName name="ExternalData_1" localSheetId="5" hidden="1">inv_chart!$A$1:$B$63</definedName>
    <definedName name="ExternalData_2" localSheetId="4" hidden="1">inv_cal!$A$1:$E$79</definedName>
    <definedName name="ExternalData_4" localSheetId="2" hidden="1">df_train!$A$1:$G$57</definedName>
    <definedName name="ExternalData_4" localSheetId="0" hidden="1">opt_demand!$A$1:$C$91</definedName>
    <definedName name="ExternalData_5" localSheetId="1" hidden="1">df_test!$A$1:$G$53</definedName>
    <definedName name="solver_adj" localSheetId="0" hidden="1">opt_demand!#REF!,opt_demand!#REF!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opt_demand!#REF!</definedName>
    <definedName name="solver_lhs10" localSheetId="0" hidden="1">opt_demand!#REF!</definedName>
    <definedName name="solver_lhs2" localSheetId="0" hidden="1">opt_demand!#REF!</definedName>
    <definedName name="solver_lhs3" localSheetId="0" hidden="1">opt_demand!#REF!</definedName>
    <definedName name="solver_lhs4" localSheetId="0" hidden="1">opt_demand!#REF!</definedName>
    <definedName name="solver_lhs5" localSheetId="0" hidden="1">opt_demand!#REF!</definedName>
    <definedName name="solver_lhs6" localSheetId="0" hidden="1">opt_demand!#REF!</definedName>
    <definedName name="solver_lhs7" localSheetId="0" hidden="1">opt_demand!#REF!</definedName>
    <definedName name="solver_lhs8" localSheetId="0" hidden="1">opt_demand!#REF!</definedName>
    <definedName name="solver_lhs9" localSheetId="0" hidden="1">opt_demand!#REF!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opt_demand!#REF!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10" localSheetId="0" hidden="1">2</definedName>
    <definedName name="solver_rel2" localSheetId="0" hidden="1">3</definedName>
    <definedName name="solver_rel3" localSheetId="0" hidden="1">2</definedName>
    <definedName name="solver_rel4" localSheetId="0" hidden="1">1</definedName>
    <definedName name="solver_rel5" localSheetId="0" hidden="1">5</definedName>
    <definedName name="solver_rel6" localSheetId="0" hidden="1">5</definedName>
    <definedName name="solver_rel7" localSheetId="0" hidden="1">2</definedName>
    <definedName name="solver_rel8" localSheetId="0" hidden="1">2</definedName>
    <definedName name="solver_rel9" localSheetId="0" hidden="1">2</definedName>
    <definedName name="solver_rhs1" localSheetId="0" hidden="1">0</definedName>
    <definedName name="solver_rhs10" localSheetId="0" hidden="1">opt_demand!#REF!</definedName>
    <definedName name="solver_rhs2" localSheetId="0" hidden="1">opt_demand!#REF!</definedName>
    <definedName name="solver_rhs3" localSheetId="0" hidden="1">opt_demand!#REF!</definedName>
    <definedName name="solver_rhs4" localSheetId="0" hidden="1">opt_demand!#REF!</definedName>
    <definedName name="solver_rhs5" localSheetId="0" hidden="1">"binary"</definedName>
    <definedName name="solver_rhs6" localSheetId="0" hidden="1">"binary"</definedName>
    <definedName name="solver_rhs7" localSheetId="0" hidden="1">opt_demand!#REF!</definedName>
    <definedName name="solver_rhs8" localSheetId="0" hidden="1">opt_demand!#REF!</definedName>
    <definedName name="solver_rhs9" localSheetId="0" hidden="1">opt_demand!#REF!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3" l="1"/>
  <c r="J54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2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3" i="8"/>
  <c r="I4" i="8"/>
  <c r="I5" i="8"/>
  <c r="I6" i="8"/>
  <c r="I7" i="8"/>
  <c r="I8" i="8"/>
  <c r="I9" i="8"/>
  <c r="I2" i="8"/>
  <c r="H4" i="3" l="1"/>
  <c r="H3" i="3"/>
  <c r="H2" i="3"/>
  <c r="H25" i="3" s="1"/>
  <c r="H26" i="3" s="1"/>
  <c r="H10" i="3" l="1"/>
  <c r="H11" i="3"/>
  <c r="H14" i="3"/>
  <c r="H15" i="3"/>
  <c r="H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75FE9E-6A72-43EE-8D30-5F82741AE4FD}" keepAlive="1" name="Query - df_overview" description="Connection to the 'df_overview' query in the workbook." type="5" refreshedVersion="8" background="1" saveData="1">
    <dbPr connection="Provider=Microsoft.Mashup.OleDb.1;Data Source=$Workbook$;Location=df_overview;Extended Properties=&quot;&quot;" command="SELECT * FROM [df_overview]"/>
  </connection>
  <connection id="2" xr16:uid="{F77FDB09-0D59-4B87-A5CE-9B8403C584CE}" keepAlive="1" name="Query - df_test" description="Connection to the 'df_test' query in the workbook." type="5" refreshedVersion="8" background="1" saveData="1">
    <dbPr connection="Provider=Microsoft.Mashup.OleDb.1;Data Source=$Workbook$;Location=df_test;Extended Properties=&quot;&quot;" command="SELECT * FROM [df_test]"/>
  </connection>
  <connection id="3" xr16:uid="{B64671FB-6752-461E-B204-AAA1F38F0807}" keepAlive="1" name="Query - df_train" description="Connection to the 'df_train' query in the workbook." type="5" refreshedVersion="8" background="1" saveData="1">
    <dbPr connection="Provider=Microsoft.Mashup.OleDb.1;Data Source=$Workbook$;Location=df_train;Extended Properties=&quot;&quot;" command="SELECT * FROM [df_train]"/>
  </connection>
  <connection id="4" xr16:uid="{60BE3BE6-8E3C-4B48-9E03-869A7A011864}" keepAlive="1" name="Query - inv_cal" description="Connection to the 'inv_cal' query in the workbook." type="5" refreshedVersion="8" background="1" saveData="1">
    <dbPr connection="Provider=Microsoft.Mashup.OleDb.1;Data Source=$Workbook$;Location=inv_cal;Extended Properties=&quot;&quot;" command="SELECT * FROM [inv_cal]"/>
  </connection>
  <connection id="5" xr16:uid="{BADB9736-A6BC-43B7-97CB-2C8717064B0B}" keepAlive="1" name="Query - inv_chart" description="Connection to the 'inv_chart' query in the workbook." type="5" refreshedVersion="8" background="1" saveData="1">
    <dbPr connection="Provider=Microsoft.Mashup.OleDb.1;Data Source=$Workbook$;Location=inv_chart;Extended Properties=&quot;&quot;" command="SELECT * FROM [inv_chart]"/>
  </connection>
  <connection id="6" xr16:uid="{9EA511FF-AC2F-49FC-B4F7-861CB119EF02}" keepAlive="1" name="Query - opt_demand" description="Connection to the 'opt_demand' query in the workbook." type="5" refreshedVersion="8" background="1" saveData="1">
    <dbPr connection="Provider=Microsoft.Mashup.OleDb.1;Data Source=$Workbook$;Location=opt_demand;Extended Properties=&quot;&quot;" command="SELECT * FROM [opt_demand]"/>
  </connection>
</connections>
</file>

<file path=xl/sharedStrings.xml><?xml version="1.0" encoding="utf-8"?>
<sst xmlns="http://schemas.openxmlformats.org/spreadsheetml/2006/main" count="482" uniqueCount="123">
  <si>
    <t>total_units_sold</t>
  </si>
  <si>
    <t>Count of weeks</t>
  </si>
  <si>
    <t>year</t>
  </si>
  <si>
    <t>month</t>
  </si>
  <si>
    <t>week_number</t>
  </si>
  <si>
    <t>store</t>
  </si>
  <si>
    <t>GO-DONG-NAI</t>
  </si>
  <si>
    <t>GO-AN-LAC</t>
  </si>
  <si>
    <t>GO-BINH-DUONG</t>
  </si>
  <si>
    <t>units_sold</t>
  </si>
  <si>
    <t>stock_available</t>
  </si>
  <si>
    <t>promotion_binary</t>
  </si>
  <si>
    <t>price_unit</t>
  </si>
  <si>
    <t>is_holiday_week</t>
  </si>
  <si>
    <t>lag_1</t>
  </si>
  <si>
    <t>rolling_mean_4</t>
  </si>
  <si>
    <t>rolling_std_4</t>
  </si>
  <si>
    <t>summary</t>
  </si>
  <si>
    <t>mean</t>
  </si>
  <si>
    <t>std.s</t>
  </si>
  <si>
    <t>n</t>
  </si>
  <si>
    <t>statistics</t>
  </si>
  <si>
    <t>z-value</t>
  </si>
  <si>
    <t>CI</t>
  </si>
  <si>
    <t>lower bound</t>
  </si>
  <si>
    <t>upper bound</t>
  </si>
  <si>
    <t>PI</t>
  </si>
  <si>
    <t>CDF (x&gt;X) to meet 90% demand</t>
  </si>
  <si>
    <t>hypothesis testing</t>
  </si>
  <si>
    <t>H0</t>
  </si>
  <si>
    <t>H1</t>
  </si>
  <si>
    <t>T-test</t>
  </si>
  <si>
    <t>p_value</t>
  </si>
  <si>
    <t>significane level with 5%</t>
  </si>
  <si>
    <t>90% confidence interval</t>
  </si>
  <si>
    <t>90% prediction interval</t>
  </si>
  <si>
    <t>is not greater than 300</t>
  </si>
  <si>
    <t>is greater than 300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</si>
  <si>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</si>
  <si>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</si>
  <si>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</si>
  <si>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</si>
  <si>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</si>
  <si>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</si>
  <si>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</si>
  <si>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</si>
  <si>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</si>
  <si>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</si>
  <si>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</si>
  <si>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</si>
  <si>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</si>
  <si>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</si>
  <si>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</si>
  <si>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</si>
  <si>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</si>
  <si>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</si>
  <si>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</si>
  <si>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</si>
  <si>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</si>
  <si>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</si>
  <si>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</si>
  <si>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</si>
  <si>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lag_2</t>
  </si>
  <si>
    <t>momentum</t>
  </si>
  <si>
    <t>is_mature</t>
  </si>
  <si>
    <t>is_decline</t>
  </si>
  <si>
    <t>is_summer</t>
  </si>
  <si>
    <t>is_winter</t>
  </si>
  <si>
    <t>test_unit_sold</t>
  </si>
  <si>
    <t>MAPE</t>
  </si>
  <si>
    <t>supplier</t>
  </si>
  <si>
    <t>demand_per_month</t>
  </si>
  <si>
    <t>JU</t>
  </si>
  <si>
    <t>MI</t>
  </si>
  <si>
    <t>RE</t>
  </si>
  <si>
    <t>SN</t>
  </si>
  <si>
    <t>YO</t>
  </si>
  <si>
    <t>Suppliers to WH</t>
  </si>
  <si>
    <t>South WH</t>
  </si>
  <si>
    <t>WH to Hypers</t>
  </si>
  <si>
    <t>non-direct</t>
  </si>
  <si>
    <t>Objective Function</t>
  </si>
  <si>
    <t>MIN(TC)</t>
  </si>
  <si>
    <t>capacity</t>
  </si>
  <si>
    <t>binary</t>
  </si>
  <si>
    <t>xij, where i is supplier, j is hyper</t>
  </si>
  <si>
    <t>xwj, where w is warehouse, j is hyper</t>
  </si>
  <si>
    <t>xiw, where i is supplier, w is warehouse</t>
  </si>
  <si>
    <t>WH</t>
  </si>
  <si>
    <t>must be</t>
  </si>
  <si>
    <t>p_value &lt; 5%</t>
  </si>
  <si>
    <t xml:space="preserve">so we reject H0, </t>
  </si>
  <si>
    <t>HCMC's hypers can sell more than 300 items per day</t>
  </si>
  <si>
    <t>VND 1.000</t>
  </si>
  <si>
    <t>Suppliers to Hypers</t>
  </si>
  <si>
    <t>DIRECT</t>
  </si>
  <si>
    <t>NON-DIRECT</t>
  </si>
  <si>
    <t>about WH</t>
  </si>
  <si>
    <t>additional costs</t>
  </si>
  <si>
    <t>cartons</t>
  </si>
  <si>
    <t>VARIABLES'S LOGISTICS COST</t>
  </si>
  <si>
    <t>open/not</t>
  </si>
  <si>
    <t>in shipment</t>
  </si>
  <si>
    <t>Total of products to transport</t>
  </si>
  <si>
    <t>SOLVER</t>
  </si>
  <si>
    <t>subject to:</t>
  </si>
  <si>
    <t>1. Demand Constraint</t>
  </si>
  <si>
    <t>where:</t>
  </si>
  <si>
    <t>This cell below must be</t>
  </si>
  <si>
    <t>inbound - outbound</t>
  </si>
  <si>
    <t>2. Product flow Constraint</t>
  </si>
  <si>
    <t>3. Warehouse Constraint</t>
  </si>
  <si>
    <t>Capacity</t>
  </si>
  <si>
    <t>inbound</t>
  </si>
  <si>
    <t>4. Mathematics</t>
  </si>
  <si>
    <t>All shipments would be greater than 0</t>
  </si>
  <si>
    <t>Open/not Warehouse is binary {0,1}</t>
  </si>
  <si>
    <t>outbound</t>
  </si>
  <si>
    <t>Each cell below must be "xij"  and greater than Dj</t>
  </si>
  <si>
    <t>∑xiw - ∑xwj = 0</t>
  </si>
  <si>
    <t>This cell below must be less than capacity, and be "∑xiw"</t>
  </si>
  <si>
    <t>2. Mathematics</t>
  </si>
  <si>
    <t>All shipments must be integer and greater than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</si>
</sst>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10" fontId="0" fillId="0" borderId="0" xfId="1" applyNumberFormat="1" applyFont="1"/>
    <xf numFmtId="10" fontId="0" fillId="0" borderId="0" xfId="0" applyNumberForma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9" xfId="0" applyBorder="1" applyAlignment="1">
      <alignment horizontal="right"/>
    </xf>
    <xf numFmtId="0" fontId="0" fillId="5" borderId="0" xfId="0" applyFill="1"/>
    <xf numFmtId="0" fontId="3" fillId="5" borderId="2" xfId="0" applyFont="1" applyFill="1" applyBorder="1" applyAlignment="1">
      <alignment horizontal="centerContinuous"/>
    </xf>
    <xf numFmtId="0" fontId="0" fillId="5" borderId="1" xfId="0" applyFill="1" applyBorder="1"/>
    <xf numFmtId="0" fontId="3" fillId="5" borderId="2" xfId="0" applyFont="1" applyFill="1" applyBorder="1" applyAlignment="1">
      <alignment horizontal="center"/>
    </xf>
    <xf numFmtId="0" fontId="2" fillId="5" borderId="0" xfId="0" applyFont="1" applyFill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5" borderId="3" xfId="0" applyFill="1" applyBorder="1"/>
    <xf numFmtId="164" fontId="0" fillId="5" borderId="0" xfId="0" applyNumberFormat="1" applyFill="1"/>
    <xf numFmtId="164" fontId="0" fillId="5" borderId="1" xfId="0" applyNumberFormat="1" applyFill="1" applyBorder="1"/>
    <xf numFmtId="0" fontId="2" fillId="2" borderId="0" xfId="0" applyFont="1" applyFill="1" applyAlignment="1">
      <alignment horizontal="left"/>
    </xf>
    <xf numFmtId="0" fontId="2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0" fontId="0" fillId="5" borderId="10" xfId="0" applyFill="1" applyBorder="1"/>
    <xf numFmtId="0" fontId="0" fillId="5" borderId="13" xfId="0" applyFill="1" applyBorder="1"/>
    <xf numFmtId="0" fontId="2" fillId="5" borderId="3" xfId="0" applyFont="1" applyFill="1" applyBorder="1"/>
    <xf numFmtId="0" fontId="3" fillId="5" borderId="0" xfId="0" applyFont="1" applyFill="1"/>
    <xf numFmtId="0" fontId="0" fillId="6" borderId="3" xfId="0" applyFill="1" applyBorder="1"/>
    <xf numFmtId="0" fontId="0" fillId="7" borderId="3" xfId="0" applyFill="1" applyBorder="1"/>
    <xf numFmtId="0" fontId="2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1" fontId="0" fillId="5" borderId="3" xfId="0" applyNumberFormat="1" applyFill="1" applyBorder="1"/>
    <xf numFmtId="4" fontId="0" fillId="4" borderId="3" xfId="0" applyNumberFormat="1" applyFill="1" applyBorder="1"/>
    <xf numFmtId="3" fontId="0" fillId="5" borderId="3" xfId="0" applyNumberFormat="1" applyFill="1" applyBorder="1"/>
    <xf numFmtId="0" fontId="4" fillId="3" borderId="11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1A10CA8A-9F32-4222-85C7-C72075F4F051}" formatIdx="0">
          <cx:tx>
            <cx:txData>
              <cx:f>_xlchart.v1.0</cx:f>
              <cx:v>total_units_sold</cx:v>
            </cx:txData>
          </cx:tx>
          <cx:dataId val="0"/>
          <cx:layoutPr>
            <cx:binning intervalClosed="r"/>
          </cx:layoutPr>
        </cx:series>
        <cx:series layoutId="clusteredColumn" hidden="1" uniqueId="{7401B016-D899-4EEF-853A-4AC7A5CC447D}" formatIdx="1">
          <cx:tx>
            <cx:txData>
              <cx:f>_xlchart.v1.2</cx:f>
              <cx:v>Count of weeks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</xdr:row>
      <xdr:rowOff>80010</xdr:rowOff>
    </xdr:from>
    <xdr:to>
      <xdr:col>10</xdr:col>
      <xdr:colOff>381000</xdr:colOff>
      <xdr:row>16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1D4EA90-1B1E-031A-F0F3-BAAB4B324C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7980" y="2628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5ED3A72B-E091-4CE3-A085-22BEADAFAE7C}" autoFormatId="16" applyNumberFormats="0" applyBorderFormats="0" applyFontFormats="0" applyPatternFormats="0" applyAlignmentFormats="0" applyWidthHeightFormats="0">
  <queryTableRefresh nextId="4">
    <queryTableFields count="3">
      <queryTableField id="1" name="store" tableColumnId="1"/>
      <queryTableField id="2" name="supplier" tableColumnId="2"/>
      <queryTableField id="3" name="demand_per_month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07926D8D-5A55-436B-AC86-A2C0A95B450F}" autoFormatId="16" applyNumberFormats="0" applyBorderFormats="0" applyFontFormats="0" applyPatternFormats="0" applyAlignmentFormats="0" applyWidthHeightFormats="0">
  <queryTableRefresh nextId="9">
    <queryTableFields count="7">
      <queryTableField id="1" name="year" tableColumnId="1"/>
      <queryTableField id="2" name="week_number" tableColumnId="2"/>
      <queryTableField id="3" name="units_sold" tableColumnId="3"/>
      <queryTableField id="4" name="stock_available" tableColumnId="4"/>
      <queryTableField id="5" name="promotion_binary" tableColumnId="5"/>
      <queryTableField id="7" name="rolling_mean_4" tableColumnId="7"/>
      <queryTableField id="8" name="momentum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22C5FF8C-4FE5-4460-AA55-82131622195A}" autoFormatId="16" applyNumberFormats="0" applyBorderFormats="0" applyFontFormats="0" applyPatternFormats="0" applyAlignmentFormats="0" applyWidthHeightFormats="0">
  <queryTableRefresh nextId="9">
    <queryTableFields count="7">
      <queryTableField id="1" name="year" tableColumnId="1"/>
      <queryTableField id="2" name="week_number" tableColumnId="2"/>
      <queryTableField id="3" name="units_sold" tableColumnId="3"/>
      <queryTableField id="4" name="stock_available" tableColumnId="4"/>
      <queryTableField id="5" name="promotion_binary" tableColumnId="5"/>
      <queryTableField id="7" name="rolling_mean_4" tableColumnId="7"/>
      <queryTableField id="8" name="momentum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B2AC015-A960-4EB9-B4FB-CC1B15771A95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month" tableColumnId="2"/>
      <queryTableField id="3" name="week_number" tableColumnId="3"/>
      <queryTableField id="4" name="store" tableColumnId="4"/>
      <queryTableField id="5" name="total_units_sold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B591791-1037-4290-8910-D8D516D99406}" autoFormatId="16" applyNumberFormats="0" applyBorderFormats="0" applyFontFormats="0" applyPatternFormats="0" applyAlignmentFormats="0" applyWidthHeightFormats="0">
  <queryTableRefresh nextId="3">
    <queryTableFields count="2">
      <queryTableField id="1" name="total_units_sold" tableColumnId="1"/>
      <queryTableField id="2" name="Count of week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C91DD06-E51B-406C-A2E3-25F571647C47}" name="opt_demand" displayName="opt_demand" ref="A1:C91" tableType="queryTable" totalsRowShown="0">
  <autoFilter ref="A1:C91" xr:uid="{BC91DD06-E51B-406C-A2E3-25F571647C47}"/>
  <tableColumns count="3">
    <tableColumn id="1" xr3:uid="{7A8CF83F-37AE-4FBF-964E-A15F32A2B00E}" uniqueName="1" name="store" queryTableFieldId="1" dataDxfId="2"/>
    <tableColumn id="2" xr3:uid="{ABB6C22B-8560-41E2-A0FA-26EDC0013E42}" uniqueName="2" name="supplier" queryTableFieldId="2" dataDxfId="1"/>
    <tableColumn id="3" xr3:uid="{D826E90F-2976-4BB6-A2F3-37C63E5F7933}" uniqueName="3" name="demand_per_month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5BBB52-BE72-4931-A58A-59F1A6A92786}" name="df_test" displayName="df_test" ref="A1:G53" tableType="queryTable" totalsRowShown="0">
  <autoFilter ref="A1:G53" xr:uid="{1D5BBB52-BE72-4931-A58A-59F1A6A92786}"/>
  <tableColumns count="7">
    <tableColumn id="1" xr3:uid="{4B66744C-9C59-4F2F-B9C7-A2ABB004DD44}" uniqueName="1" name="year" queryTableFieldId="1"/>
    <tableColumn id="2" xr3:uid="{68FACCF0-1AE8-4545-A6C4-4F99CF522131}" uniqueName="2" name="week_number" queryTableFieldId="2"/>
    <tableColumn id="3" xr3:uid="{17ED21C0-F987-4B33-B1C2-DEFE4E7EFB95}" uniqueName="3" name="units_sold" queryTableFieldId="3"/>
    <tableColumn id="4" xr3:uid="{0294BED6-A2EE-497C-82CA-F61BAE3AA26C}" uniqueName="4" name="stock_available" queryTableFieldId="4"/>
    <tableColumn id="5" xr3:uid="{801184BE-2C56-49B4-AD90-109E61D50A73}" uniqueName="5" name="promotion_binary" queryTableFieldId="5"/>
    <tableColumn id="7" xr3:uid="{A2E8DF9A-75AC-4C5D-B5BD-EBCB230B6328}" uniqueName="7" name="rolling_mean_4" queryTableFieldId="7"/>
    <tableColumn id="8" xr3:uid="{1FF8C643-666D-482D-B81D-5760EDD5776D}" uniqueName="8" name="momentum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545EC0-E675-44B1-BE19-2A325BC1F152}" name="df_train" displayName="df_train" ref="A1:G57" tableType="queryTable" totalsRowShown="0">
  <autoFilter ref="A1:G57" xr:uid="{5F545EC0-E675-44B1-BE19-2A325BC1F152}"/>
  <tableColumns count="7">
    <tableColumn id="1" xr3:uid="{1274755D-9329-43E0-8E98-55EBFC12EC59}" uniqueName="1" name="year" queryTableFieldId="1"/>
    <tableColumn id="2" xr3:uid="{0FEA2B4E-784F-4543-BE1D-109C23524C2A}" uniqueName="2" name="week_number" queryTableFieldId="2"/>
    <tableColumn id="3" xr3:uid="{53B90B9B-814E-40BB-B67D-564DFA1571F0}" uniqueName="3" name="units_sold" queryTableFieldId="3"/>
    <tableColumn id="4" xr3:uid="{55C75B3C-2807-411F-9411-AB5F437BB029}" uniqueName="4" name="stock_available" queryTableFieldId="4"/>
    <tableColumn id="5" xr3:uid="{7AD3EFF9-A2D7-41DD-ADCF-F983E9E22494}" uniqueName="5" name="promotion_binary" queryTableFieldId="5"/>
    <tableColumn id="7" xr3:uid="{4A1047CE-5A00-42FF-985A-1A6EAE184546}" uniqueName="7" name="rolling_mean_4" queryTableFieldId="7"/>
    <tableColumn id="8" xr3:uid="{E409DBEC-184D-4435-BBCC-F8707D110AA4}" uniqueName="8" name="momentum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BCA6AC-5C87-4A0F-A8C2-2ABDD134ACC6}" name="inv_cal" displayName="inv_cal" ref="A1:E79" tableType="queryTable" totalsRowShown="0">
  <autoFilter ref="A1:E79" xr:uid="{62BCA6AC-5C87-4A0F-A8C2-2ABDD134ACC6}"/>
  <tableColumns count="5">
    <tableColumn id="1" xr3:uid="{51110E7A-850E-432B-A775-59FBEC43EC9F}" uniqueName="1" name="year" queryTableFieldId="1"/>
    <tableColumn id="2" xr3:uid="{BD7776E5-17E9-4394-A034-12DA4FC1EE9E}" uniqueName="2" name="month" queryTableFieldId="2"/>
    <tableColumn id="3" xr3:uid="{2DB63D34-EC9F-41BB-8EDC-A0128275F445}" uniqueName="3" name="week_number" queryTableFieldId="3"/>
    <tableColumn id="4" xr3:uid="{F4742FEB-7F48-4863-A6F6-F32A778774C2}" uniqueName="4" name="store" queryTableFieldId="4" dataDxfId="0"/>
    <tableColumn id="5" xr3:uid="{6D0EFA87-F2A9-494E-A224-1EBA854D411F}" uniqueName="5" name="total_units_sold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1FB85-B8A2-4DD6-9204-7BB53AC79454}" name="inv_chart" displayName="inv_chart" ref="A1:B63" tableType="queryTable" totalsRowShown="0">
  <autoFilter ref="A1:B63" xr:uid="{6FD1FB85-B8A2-4DD6-9204-7BB53AC79454}"/>
  <tableColumns count="2">
    <tableColumn id="1" xr3:uid="{4CA64C44-9992-4F7F-99B5-46A6C25DFCBD}" uniqueName="1" name="total_units_sold" queryTableFieldId="1"/>
    <tableColumn id="2" xr3:uid="{63CB46E7-D212-4163-AB51-95C7C800429E}" uniqueName="2" name="Count of weeks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E22A2-0069-409D-A0FF-71A6D050DAA7}">
  <dimension ref="A1:T91"/>
  <sheetViews>
    <sheetView topLeftCell="A16" zoomScale="61" workbookViewId="0">
      <selection activeCell="F5" sqref="F5"/>
    </sheetView>
  </sheetViews>
  <sheetFormatPr defaultRowHeight="14.4" x14ac:dyDescent="0.3"/>
  <cols>
    <col min="1" max="1" width="15.77734375" bestFit="1" customWidth="1"/>
    <col min="2" max="2" width="10.109375" bestFit="1" customWidth="1"/>
    <col min="3" max="3" width="20" bestFit="1" customWidth="1"/>
    <col min="6" max="6" width="22.5546875" bestFit="1" customWidth="1"/>
    <col min="7" max="7" width="49.109375" customWidth="1"/>
    <col min="8" max="12" width="33.77734375" customWidth="1"/>
    <col min="14" max="14" width="41.5546875" customWidth="1"/>
    <col min="15" max="15" width="41.44140625" customWidth="1"/>
    <col min="16" max="20" width="16.109375" customWidth="1"/>
  </cols>
  <sheetData>
    <row r="1" spans="1:20" x14ac:dyDescent="0.3">
      <c r="A1" t="s">
        <v>5</v>
      </c>
      <c r="B1" t="s">
        <v>70</v>
      </c>
      <c r="C1" t="s">
        <v>71</v>
      </c>
    </row>
    <row r="2" spans="1:20" x14ac:dyDescent="0.3">
      <c r="A2" t="s">
        <v>6</v>
      </c>
      <c r="B2" t="s">
        <v>72</v>
      </c>
      <c r="C2">
        <v>1210.75</v>
      </c>
      <c r="G2" s="24" t="s">
        <v>100</v>
      </c>
      <c r="H2" s="31" t="s">
        <v>102</v>
      </c>
      <c r="I2" s="31"/>
      <c r="J2" s="14"/>
      <c r="K2" s="14"/>
      <c r="L2" s="14"/>
    </row>
    <row r="3" spans="1:20" x14ac:dyDescent="0.3">
      <c r="A3" t="s">
        <v>7</v>
      </c>
      <c r="B3" t="s">
        <v>72</v>
      </c>
      <c r="C3">
        <v>1303.75</v>
      </c>
      <c r="G3" s="14"/>
      <c r="H3" s="14"/>
      <c r="I3" s="14"/>
      <c r="J3" s="14"/>
      <c r="K3" s="14"/>
      <c r="L3" s="14"/>
    </row>
    <row r="4" spans="1:20" x14ac:dyDescent="0.3">
      <c r="A4" t="s">
        <v>8</v>
      </c>
      <c r="B4" t="s">
        <v>72</v>
      </c>
      <c r="C4">
        <v>1248.9166666666667</v>
      </c>
      <c r="G4" s="39" t="s">
        <v>96</v>
      </c>
      <c r="H4" s="40"/>
      <c r="I4" s="40"/>
      <c r="J4" s="40"/>
      <c r="K4" s="40"/>
      <c r="L4" s="41"/>
    </row>
    <row r="5" spans="1:20" x14ac:dyDescent="0.3">
      <c r="A5" t="s">
        <v>6</v>
      </c>
      <c r="B5" t="s">
        <v>73</v>
      </c>
      <c r="C5">
        <v>1377</v>
      </c>
      <c r="G5" s="25" t="s">
        <v>77</v>
      </c>
      <c r="H5" s="21" t="s">
        <v>72</v>
      </c>
      <c r="I5" s="21" t="s">
        <v>73</v>
      </c>
      <c r="J5" s="21" t="s">
        <v>74</v>
      </c>
      <c r="K5" s="21" t="s">
        <v>75</v>
      </c>
      <c r="L5" s="21" t="s">
        <v>76</v>
      </c>
    </row>
    <row r="6" spans="1:20" x14ac:dyDescent="0.3">
      <c r="A6" t="s">
        <v>7</v>
      </c>
      <c r="B6" t="s">
        <v>73</v>
      </c>
      <c r="C6">
        <v>1388.0833333333333</v>
      </c>
      <c r="G6" s="26" t="s">
        <v>78</v>
      </c>
      <c r="H6" s="36">
        <v>13</v>
      </c>
      <c r="I6" s="36">
        <v>88</v>
      </c>
      <c r="J6" s="36">
        <v>75</v>
      </c>
      <c r="K6" s="36">
        <v>87</v>
      </c>
      <c r="L6" s="36">
        <v>178</v>
      </c>
    </row>
    <row r="7" spans="1:20" x14ac:dyDescent="0.3">
      <c r="A7" t="s">
        <v>8</v>
      </c>
      <c r="B7" t="s">
        <v>73</v>
      </c>
      <c r="C7">
        <v>1425.75</v>
      </c>
      <c r="G7" s="27"/>
      <c r="H7" s="14"/>
      <c r="I7" s="14"/>
      <c r="J7" s="14"/>
      <c r="K7" s="14"/>
      <c r="L7" s="28"/>
    </row>
    <row r="8" spans="1:20" x14ac:dyDescent="0.3">
      <c r="A8" t="s">
        <v>6</v>
      </c>
      <c r="B8" t="s">
        <v>73</v>
      </c>
      <c r="C8">
        <v>1151.5833333333333</v>
      </c>
      <c r="G8" s="27"/>
      <c r="H8" s="14"/>
      <c r="I8" s="14"/>
      <c r="J8" s="14"/>
      <c r="K8" s="14"/>
      <c r="L8" s="28"/>
    </row>
    <row r="9" spans="1:20" x14ac:dyDescent="0.3">
      <c r="A9" t="s">
        <v>7</v>
      </c>
      <c r="B9" t="s">
        <v>73</v>
      </c>
      <c r="C9">
        <v>1095.5833333333333</v>
      </c>
      <c r="G9" s="25" t="s">
        <v>79</v>
      </c>
      <c r="H9" s="21" t="s">
        <v>78</v>
      </c>
      <c r="I9" s="14"/>
      <c r="J9" s="14"/>
      <c r="K9" s="14"/>
      <c r="L9" s="28" t="s">
        <v>84</v>
      </c>
    </row>
    <row r="10" spans="1:20" x14ac:dyDescent="0.3">
      <c r="A10" t="s">
        <v>8</v>
      </c>
      <c r="B10" t="s">
        <v>73</v>
      </c>
      <c r="C10">
        <v>1065.9166666666667</v>
      </c>
      <c r="G10" s="26" t="s">
        <v>7</v>
      </c>
      <c r="H10" s="36">
        <v>148</v>
      </c>
      <c r="I10" s="14"/>
      <c r="J10" s="31" t="s">
        <v>97</v>
      </c>
      <c r="K10" s="14" t="s">
        <v>101</v>
      </c>
      <c r="L10" s="33">
        <v>1</v>
      </c>
    </row>
    <row r="11" spans="1:20" x14ac:dyDescent="0.3">
      <c r="A11" t="s">
        <v>6</v>
      </c>
      <c r="B11" t="s">
        <v>73</v>
      </c>
      <c r="C11">
        <v>1166.6666666666667</v>
      </c>
      <c r="G11" s="26" t="s">
        <v>8</v>
      </c>
      <c r="H11" s="36">
        <v>147</v>
      </c>
      <c r="I11" s="14"/>
      <c r="J11" s="21" t="s">
        <v>98</v>
      </c>
      <c r="K11" s="21">
        <v>8000</v>
      </c>
      <c r="L11" s="28"/>
      <c r="O11" s="24" t="s">
        <v>100</v>
      </c>
      <c r="P11" s="31" t="s">
        <v>102</v>
      </c>
      <c r="Q11" s="14"/>
      <c r="R11" s="14"/>
      <c r="S11" s="14"/>
      <c r="T11" s="14"/>
    </row>
    <row r="12" spans="1:20" x14ac:dyDescent="0.3">
      <c r="A12" t="s">
        <v>7</v>
      </c>
      <c r="B12" t="s">
        <v>73</v>
      </c>
      <c r="C12">
        <v>1114.9166666666667</v>
      </c>
      <c r="G12" s="26" t="s">
        <v>6</v>
      </c>
      <c r="H12" s="36">
        <v>147</v>
      </c>
      <c r="I12" s="29"/>
      <c r="J12" s="21" t="s">
        <v>83</v>
      </c>
      <c r="K12" s="21">
        <v>5000</v>
      </c>
      <c r="L12" s="21" t="s">
        <v>99</v>
      </c>
      <c r="O12" s="14"/>
      <c r="P12" s="14"/>
      <c r="Q12" s="14"/>
      <c r="R12" s="14"/>
      <c r="S12" s="14"/>
      <c r="T12" s="14"/>
    </row>
    <row r="13" spans="1:20" x14ac:dyDescent="0.3">
      <c r="A13" t="s">
        <v>8</v>
      </c>
      <c r="B13" t="s">
        <v>73</v>
      </c>
      <c r="C13">
        <v>1199.5833333333333</v>
      </c>
      <c r="G13" s="14"/>
      <c r="H13" s="14"/>
      <c r="I13" s="14"/>
      <c r="J13" s="14"/>
      <c r="K13" s="14"/>
      <c r="L13" s="14"/>
      <c r="O13" s="45" t="s">
        <v>95</v>
      </c>
      <c r="P13" s="45"/>
      <c r="Q13" s="45"/>
      <c r="R13" s="45"/>
      <c r="S13" s="45"/>
      <c r="T13" s="45"/>
    </row>
    <row r="14" spans="1:20" x14ac:dyDescent="0.3">
      <c r="A14" t="s">
        <v>6</v>
      </c>
      <c r="B14" t="s">
        <v>73</v>
      </c>
      <c r="C14">
        <v>1203.3333333333333</v>
      </c>
      <c r="G14" s="42" t="s">
        <v>96</v>
      </c>
      <c r="H14" s="43"/>
      <c r="I14" s="43"/>
      <c r="J14" s="43"/>
      <c r="K14" s="43"/>
      <c r="L14" s="44"/>
      <c r="O14" s="30" t="s">
        <v>94</v>
      </c>
      <c r="P14" s="21" t="s">
        <v>72</v>
      </c>
      <c r="Q14" s="21" t="s">
        <v>73</v>
      </c>
      <c r="R14" s="21" t="s">
        <v>74</v>
      </c>
      <c r="S14" s="21" t="s">
        <v>75</v>
      </c>
      <c r="T14" s="21" t="s">
        <v>76</v>
      </c>
    </row>
    <row r="15" spans="1:20" x14ac:dyDescent="0.3">
      <c r="A15" t="s">
        <v>7</v>
      </c>
      <c r="B15" t="s">
        <v>73</v>
      </c>
      <c r="C15">
        <v>1163.0833333333333</v>
      </c>
      <c r="G15" s="30" t="s">
        <v>94</v>
      </c>
      <c r="H15" s="21" t="s">
        <v>72</v>
      </c>
      <c r="I15" s="21" t="s">
        <v>73</v>
      </c>
      <c r="J15" s="21" t="s">
        <v>74</v>
      </c>
      <c r="K15" s="21" t="s">
        <v>75</v>
      </c>
      <c r="L15" s="21" t="s">
        <v>76</v>
      </c>
      <c r="O15" s="26" t="s">
        <v>7</v>
      </c>
      <c r="P15" s="32">
        <v>5</v>
      </c>
      <c r="Q15" s="32">
        <v>30</v>
      </c>
      <c r="R15" s="32">
        <v>25</v>
      </c>
      <c r="S15" s="32">
        <v>30</v>
      </c>
      <c r="T15" s="32">
        <v>60</v>
      </c>
    </row>
    <row r="16" spans="1:20" x14ac:dyDescent="0.3">
      <c r="A16" t="s">
        <v>8</v>
      </c>
      <c r="B16" t="s">
        <v>73</v>
      </c>
      <c r="C16">
        <v>1161.5</v>
      </c>
      <c r="G16" s="26" t="s">
        <v>7</v>
      </c>
      <c r="H16" s="32">
        <v>4.3458333333333332</v>
      </c>
      <c r="I16" s="32">
        <v>29.185555555555556</v>
      </c>
      <c r="J16" s="32">
        <v>24.896944444444443</v>
      </c>
      <c r="K16" s="32">
        <v>29.060277777777781</v>
      </c>
      <c r="L16" s="32">
        <v>59.732777777777777</v>
      </c>
      <c r="O16" s="26" t="s">
        <v>8</v>
      </c>
      <c r="P16" s="32">
        <v>5</v>
      </c>
      <c r="Q16" s="32">
        <v>30</v>
      </c>
      <c r="R16" s="32">
        <v>25</v>
      </c>
      <c r="S16" s="32">
        <v>29</v>
      </c>
      <c r="T16" s="32">
        <v>60</v>
      </c>
    </row>
    <row r="17" spans="1:20" x14ac:dyDescent="0.3">
      <c r="A17" t="s">
        <v>6</v>
      </c>
      <c r="B17" t="s">
        <v>73</v>
      </c>
      <c r="C17">
        <v>1126.25</v>
      </c>
      <c r="G17" s="26" t="s">
        <v>8</v>
      </c>
      <c r="H17" s="32">
        <v>4.1630555555555562</v>
      </c>
      <c r="I17" s="32">
        <v>29.124444444444443</v>
      </c>
      <c r="J17" s="32">
        <v>24.879166666666666</v>
      </c>
      <c r="K17" s="32">
        <v>28.688333333333336</v>
      </c>
      <c r="L17" s="32">
        <v>59.130277777777778</v>
      </c>
      <c r="O17" s="26" t="s">
        <v>6</v>
      </c>
      <c r="P17" s="32">
        <v>5</v>
      </c>
      <c r="Q17" s="32">
        <v>30</v>
      </c>
      <c r="R17" s="32">
        <v>25</v>
      </c>
      <c r="S17" s="32">
        <v>29</v>
      </c>
      <c r="T17" s="32">
        <v>59</v>
      </c>
    </row>
    <row r="18" spans="1:20" x14ac:dyDescent="0.3">
      <c r="A18" t="s">
        <v>7</v>
      </c>
      <c r="B18" t="s">
        <v>73</v>
      </c>
      <c r="C18">
        <v>1120.8333333333333</v>
      </c>
      <c r="G18" s="26" t="s">
        <v>6</v>
      </c>
      <c r="H18" s="32">
        <v>4.0358333333333336</v>
      </c>
      <c r="I18" s="32">
        <v>29.576944444444443</v>
      </c>
      <c r="J18" s="32">
        <v>24.860000000000003</v>
      </c>
      <c r="K18" s="32">
        <v>28.763055555555557</v>
      </c>
      <c r="L18" s="32">
        <v>58.926666666666669</v>
      </c>
      <c r="O18" s="14"/>
      <c r="P18" s="14"/>
      <c r="Q18" s="14"/>
      <c r="R18" s="14"/>
      <c r="S18" s="14"/>
      <c r="T18" s="14"/>
    </row>
    <row r="19" spans="1:20" x14ac:dyDescent="0.3">
      <c r="A19" t="s">
        <v>8</v>
      </c>
      <c r="B19" t="s">
        <v>73</v>
      </c>
      <c r="C19">
        <v>1114.25</v>
      </c>
      <c r="G19" s="14"/>
      <c r="H19" s="14"/>
      <c r="I19" s="14"/>
      <c r="J19" s="14"/>
      <c r="K19" s="14"/>
      <c r="L19" s="14"/>
      <c r="O19" s="14"/>
      <c r="P19" s="14"/>
      <c r="Q19" s="14"/>
      <c r="R19" s="14"/>
      <c r="S19" s="14"/>
      <c r="T19" s="14"/>
    </row>
    <row r="20" spans="1:20" x14ac:dyDescent="0.3">
      <c r="A20" t="s">
        <v>6</v>
      </c>
      <c r="B20" t="s">
        <v>73</v>
      </c>
      <c r="C20">
        <v>1450</v>
      </c>
      <c r="G20" s="14"/>
      <c r="H20" s="14"/>
      <c r="I20" s="14"/>
      <c r="J20" s="14"/>
      <c r="K20" s="14"/>
      <c r="L20" s="14"/>
      <c r="O20" s="24" t="s">
        <v>104</v>
      </c>
      <c r="P20" s="14"/>
      <c r="Q20" s="14"/>
      <c r="R20" s="14"/>
      <c r="S20" s="14"/>
      <c r="T20" s="14"/>
    </row>
    <row r="21" spans="1:20" x14ac:dyDescent="0.3">
      <c r="A21" t="s">
        <v>7</v>
      </c>
      <c r="B21" t="s">
        <v>73</v>
      </c>
      <c r="C21">
        <v>1452.0833333333333</v>
      </c>
      <c r="G21" s="24" t="s">
        <v>104</v>
      </c>
      <c r="H21" s="14"/>
      <c r="I21" s="14"/>
      <c r="J21" s="14"/>
      <c r="K21" s="14"/>
      <c r="L21" s="14"/>
      <c r="O21" s="14"/>
      <c r="P21" s="14"/>
      <c r="Q21" s="14"/>
      <c r="R21" s="14"/>
      <c r="S21" s="14"/>
      <c r="T21" s="14"/>
    </row>
    <row r="22" spans="1:20" x14ac:dyDescent="0.3">
      <c r="A22" t="s">
        <v>8</v>
      </c>
      <c r="B22" t="s">
        <v>73</v>
      </c>
      <c r="C22">
        <v>1394.3333333333333</v>
      </c>
      <c r="H22" s="14"/>
      <c r="I22" s="14"/>
      <c r="J22" s="14"/>
      <c r="K22" s="14"/>
      <c r="L22" s="14"/>
      <c r="O22" s="34" t="s">
        <v>81</v>
      </c>
      <c r="P22" s="14"/>
      <c r="Q22" s="14"/>
      <c r="R22" s="14"/>
      <c r="S22" s="14"/>
      <c r="T22" s="14"/>
    </row>
    <row r="23" spans="1:20" x14ac:dyDescent="0.3">
      <c r="A23" t="s">
        <v>6</v>
      </c>
      <c r="B23" t="s">
        <v>73</v>
      </c>
      <c r="C23">
        <v>1398.25</v>
      </c>
      <c r="G23" s="34" t="s">
        <v>81</v>
      </c>
      <c r="H23" s="14"/>
      <c r="I23" s="14"/>
      <c r="J23" s="14"/>
      <c r="K23" s="14"/>
      <c r="L23" s="14"/>
      <c r="O23" s="26" t="s">
        <v>82</v>
      </c>
      <c r="P23" s="37">
        <v>31247</v>
      </c>
      <c r="Q23" s="31" t="s">
        <v>93</v>
      </c>
      <c r="R23" s="14"/>
      <c r="S23" s="14"/>
      <c r="T23" s="14"/>
    </row>
    <row r="24" spans="1:20" x14ac:dyDescent="0.3">
      <c r="A24" t="s">
        <v>7</v>
      </c>
      <c r="B24" t="s">
        <v>73</v>
      </c>
      <c r="C24">
        <v>1421.0833333333333</v>
      </c>
      <c r="G24" s="26" t="s">
        <v>82</v>
      </c>
      <c r="H24" s="37">
        <v>28705</v>
      </c>
      <c r="I24" s="31" t="s">
        <v>93</v>
      </c>
      <c r="J24" s="14"/>
      <c r="K24" s="14"/>
      <c r="L24" s="14"/>
      <c r="O24" s="14"/>
      <c r="P24" s="14"/>
      <c r="Q24" s="14"/>
      <c r="R24" s="14"/>
      <c r="S24" s="14"/>
      <c r="T24" s="14"/>
    </row>
    <row r="25" spans="1:20" x14ac:dyDescent="0.3">
      <c r="A25" t="s">
        <v>8</v>
      </c>
      <c r="B25" t="s">
        <v>73</v>
      </c>
      <c r="C25">
        <v>1376</v>
      </c>
      <c r="G25" s="14"/>
      <c r="H25" s="14"/>
      <c r="I25" s="14"/>
      <c r="J25" s="14"/>
      <c r="K25" s="14"/>
      <c r="L25" s="14"/>
      <c r="O25" s="14"/>
      <c r="P25" s="14"/>
      <c r="Q25" s="14"/>
      <c r="R25" s="14"/>
      <c r="S25" s="14"/>
      <c r="T25" s="14"/>
    </row>
    <row r="26" spans="1:20" x14ac:dyDescent="0.3">
      <c r="A26" t="s">
        <v>6</v>
      </c>
      <c r="B26" t="s">
        <v>74</v>
      </c>
      <c r="C26">
        <v>1493.3333333333333</v>
      </c>
      <c r="G26" s="14"/>
      <c r="H26" s="14"/>
      <c r="I26" s="14"/>
      <c r="J26" s="14"/>
      <c r="K26" s="14"/>
      <c r="L26" s="14"/>
      <c r="O26" s="34" t="s">
        <v>105</v>
      </c>
      <c r="P26" s="14"/>
      <c r="Q26" s="14"/>
      <c r="R26" s="14"/>
      <c r="S26" s="14"/>
      <c r="T26" s="14"/>
    </row>
    <row r="27" spans="1:20" x14ac:dyDescent="0.3">
      <c r="A27" t="s">
        <v>7</v>
      </c>
      <c r="B27" t="s">
        <v>74</v>
      </c>
      <c r="C27">
        <v>1536.3333333333333</v>
      </c>
      <c r="G27" s="34" t="s">
        <v>105</v>
      </c>
      <c r="H27" s="14"/>
      <c r="I27" s="14"/>
      <c r="J27" s="14"/>
      <c r="K27" s="14"/>
      <c r="L27" s="14"/>
      <c r="O27" s="14"/>
      <c r="P27" s="14"/>
      <c r="Q27" s="14"/>
      <c r="R27" s="14"/>
      <c r="S27" s="14"/>
      <c r="T27" s="14"/>
    </row>
    <row r="28" spans="1:20" x14ac:dyDescent="0.3">
      <c r="A28" t="s">
        <v>8</v>
      </c>
      <c r="B28" t="s">
        <v>74</v>
      </c>
      <c r="C28">
        <v>1447.8333333333333</v>
      </c>
      <c r="G28" s="14"/>
      <c r="H28" s="14"/>
      <c r="I28" s="14"/>
      <c r="J28" s="14"/>
      <c r="K28" s="14"/>
      <c r="L28" s="14"/>
      <c r="O28" s="18" t="s">
        <v>106</v>
      </c>
      <c r="P28" s="14"/>
      <c r="Q28" s="14"/>
      <c r="R28" s="14"/>
      <c r="S28" s="14"/>
      <c r="T28" s="14"/>
    </row>
    <row r="29" spans="1:20" x14ac:dyDescent="0.3">
      <c r="A29" t="s">
        <v>6</v>
      </c>
      <c r="B29" t="s">
        <v>74</v>
      </c>
      <c r="C29">
        <v>1504.3333333333333</v>
      </c>
      <c r="G29" s="18" t="s">
        <v>106</v>
      </c>
      <c r="H29" s="14"/>
      <c r="I29" s="14"/>
      <c r="J29" s="14"/>
      <c r="K29" s="14"/>
      <c r="L29" s="14"/>
      <c r="O29" s="14" t="s">
        <v>118</v>
      </c>
      <c r="P29" s="14"/>
      <c r="Q29" s="14"/>
      <c r="R29" s="14"/>
      <c r="S29" s="14"/>
      <c r="T29" s="14"/>
    </row>
    <row r="30" spans="1:20" x14ac:dyDescent="0.3">
      <c r="A30" t="s">
        <v>7</v>
      </c>
      <c r="B30" t="s">
        <v>74</v>
      </c>
      <c r="C30">
        <v>1434.3333333333333</v>
      </c>
      <c r="G30" s="14" t="s">
        <v>118</v>
      </c>
      <c r="H30" s="14"/>
      <c r="I30" s="14"/>
      <c r="J30" s="14"/>
      <c r="K30" s="14"/>
      <c r="L30" s="14"/>
      <c r="O30" s="14"/>
      <c r="P30" s="14"/>
      <c r="Q30" s="14"/>
      <c r="R30" s="14"/>
      <c r="S30" s="14"/>
      <c r="T30" s="14"/>
    </row>
    <row r="31" spans="1:20" x14ac:dyDescent="0.3">
      <c r="A31" t="s">
        <v>8</v>
      </c>
      <c r="B31" t="s">
        <v>74</v>
      </c>
      <c r="C31">
        <v>1538.9166666666667</v>
      </c>
      <c r="G31" s="14"/>
      <c r="H31" s="14"/>
      <c r="I31" s="14"/>
      <c r="J31" s="14"/>
      <c r="K31" s="14"/>
      <c r="L31" s="14"/>
      <c r="O31" s="30" t="s">
        <v>103</v>
      </c>
      <c r="P31" s="21" t="s">
        <v>72</v>
      </c>
      <c r="Q31" s="21" t="s">
        <v>73</v>
      </c>
      <c r="R31" s="21" t="s">
        <v>74</v>
      </c>
      <c r="S31" s="21" t="s">
        <v>75</v>
      </c>
      <c r="T31" s="21" t="s">
        <v>76</v>
      </c>
    </row>
    <row r="32" spans="1:20" x14ac:dyDescent="0.3">
      <c r="A32" t="s">
        <v>6</v>
      </c>
      <c r="B32" t="s">
        <v>74</v>
      </c>
      <c r="C32">
        <v>1450.9166666666667</v>
      </c>
      <c r="G32" s="30" t="s">
        <v>103</v>
      </c>
      <c r="H32" s="21" t="s">
        <v>72</v>
      </c>
      <c r="I32" s="21" t="s">
        <v>73</v>
      </c>
      <c r="J32" s="21" t="s">
        <v>74</v>
      </c>
      <c r="K32" s="21" t="s">
        <v>75</v>
      </c>
      <c r="L32" s="21" t="s">
        <v>76</v>
      </c>
      <c r="O32" s="26" t="s">
        <v>7</v>
      </c>
      <c r="P32" s="38">
        <v>1500</v>
      </c>
      <c r="Q32" s="38">
        <v>9000</v>
      </c>
      <c r="R32" s="38">
        <v>7500</v>
      </c>
      <c r="S32" s="38">
        <v>9000</v>
      </c>
      <c r="T32" s="38">
        <v>18000</v>
      </c>
    </row>
    <row r="33" spans="1:20" x14ac:dyDescent="0.3">
      <c r="A33" t="s">
        <v>7</v>
      </c>
      <c r="B33" t="s">
        <v>74</v>
      </c>
      <c r="C33">
        <v>1457.6666666666667</v>
      </c>
      <c r="G33" s="26" t="s">
        <v>7</v>
      </c>
      <c r="H33" s="38">
        <v>1320</v>
      </c>
      <c r="I33" s="38">
        <v>8760</v>
      </c>
      <c r="J33" s="38">
        <v>7470</v>
      </c>
      <c r="K33" s="38">
        <v>8730</v>
      </c>
      <c r="L33" s="38">
        <v>17940</v>
      </c>
      <c r="O33" s="26" t="s">
        <v>8</v>
      </c>
      <c r="P33" s="38">
        <v>1500</v>
      </c>
      <c r="Q33" s="38">
        <v>9000</v>
      </c>
      <c r="R33" s="38">
        <v>7500</v>
      </c>
      <c r="S33" s="38">
        <v>8700</v>
      </c>
      <c r="T33" s="38">
        <v>18000</v>
      </c>
    </row>
    <row r="34" spans="1:20" x14ac:dyDescent="0.3">
      <c r="A34" t="s">
        <v>8</v>
      </c>
      <c r="B34" t="s">
        <v>74</v>
      </c>
      <c r="C34">
        <v>1499.5833333333333</v>
      </c>
      <c r="G34" s="26" t="s">
        <v>8</v>
      </c>
      <c r="H34" s="38">
        <v>1260</v>
      </c>
      <c r="I34" s="38">
        <v>8760</v>
      </c>
      <c r="J34" s="38">
        <v>7470</v>
      </c>
      <c r="K34" s="38">
        <v>8610</v>
      </c>
      <c r="L34" s="38">
        <v>17760</v>
      </c>
      <c r="O34" s="26" t="s">
        <v>6</v>
      </c>
      <c r="P34" s="38">
        <v>1500</v>
      </c>
      <c r="Q34" s="38">
        <v>9000</v>
      </c>
      <c r="R34" s="38">
        <v>7500</v>
      </c>
      <c r="S34" s="38">
        <v>8700</v>
      </c>
      <c r="T34" s="38">
        <v>17700</v>
      </c>
    </row>
    <row r="35" spans="1:20" x14ac:dyDescent="0.3">
      <c r="A35" t="s">
        <v>6</v>
      </c>
      <c r="B35" t="s">
        <v>74</v>
      </c>
      <c r="C35">
        <v>1510</v>
      </c>
      <c r="G35" s="26" t="s">
        <v>6</v>
      </c>
      <c r="H35" s="38">
        <v>1230</v>
      </c>
      <c r="I35" s="38">
        <v>8880</v>
      </c>
      <c r="J35" s="38">
        <v>7470</v>
      </c>
      <c r="K35" s="38">
        <v>8640</v>
      </c>
      <c r="L35" s="38">
        <v>17700</v>
      </c>
      <c r="O35" s="14"/>
      <c r="P35" s="14"/>
      <c r="Q35" s="14"/>
      <c r="R35" s="14"/>
      <c r="S35" s="14"/>
      <c r="T35" s="14"/>
    </row>
    <row r="36" spans="1:20" x14ac:dyDescent="0.3">
      <c r="A36" t="s">
        <v>7</v>
      </c>
      <c r="B36" t="s">
        <v>74</v>
      </c>
      <c r="C36">
        <v>1583.25</v>
      </c>
      <c r="G36" s="14"/>
      <c r="H36" s="14"/>
      <c r="I36" s="14"/>
      <c r="J36" s="14"/>
      <c r="K36" s="14"/>
      <c r="L36" s="14"/>
      <c r="O36" s="34" t="s">
        <v>121</v>
      </c>
      <c r="P36" s="14"/>
      <c r="Q36" s="14"/>
      <c r="R36" s="14"/>
      <c r="S36" s="14"/>
      <c r="T36" s="14"/>
    </row>
    <row r="37" spans="1:20" x14ac:dyDescent="0.3">
      <c r="A37" t="s">
        <v>8</v>
      </c>
      <c r="B37" t="s">
        <v>74</v>
      </c>
      <c r="C37">
        <v>1459.3333333333333</v>
      </c>
      <c r="G37" s="18" t="s">
        <v>110</v>
      </c>
      <c r="H37" s="14"/>
      <c r="I37" s="14"/>
      <c r="J37" s="14"/>
      <c r="K37" s="14"/>
      <c r="L37" s="14"/>
      <c r="O37" s="35" t="s">
        <v>122</v>
      </c>
      <c r="P37" s="14"/>
      <c r="Q37" s="14"/>
      <c r="R37" s="14"/>
      <c r="S37" s="14"/>
      <c r="T37" s="14"/>
    </row>
    <row r="38" spans="1:20" x14ac:dyDescent="0.3">
      <c r="A38" t="s">
        <v>6</v>
      </c>
      <c r="B38" t="s">
        <v>74</v>
      </c>
      <c r="C38">
        <v>1499.4166666666667</v>
      </c>
      <c r="G38" s="35" t="s">
        <v>108</v>
      </c>
      <c r="H38" s="14" t="s">
        <v>119</v>
      </c>
      <c r="I38" s="14"/>
      <c r="J38" s="14"/>
      <c r="K38" s="14"/>
      <c r="L38" s="14"/>
      <c r="O38" s="14"/>
      <c r="P38" s="14"/>
      <c r="Q38" s="14"/>
      <c r="R38" s="14"/>
      <c r="S38" s="14"/>
      <c r="T38" s="14"/>
    </row>
    <row r="39" spans="1:20" x14ac:dyDescent="0.3">
      <c r="A39" t="s">
        <v>7</v>
      </c>
      <c r="B39" t="s">
        <v>74</v>
      </c>
      <c r="C39">
        <v>1457.5</v>
      </c>
      <c r="G39" s="14"/>
      <c r="H39" s="14"/>
      <c r="I39" s="14"/>
      <c r="J39" s="14"/>
      <c r="K39" s="14"/>
      <c r="L39" s="14"/>
      <c r="O39" s="14"/>
      <c r="P39" s="14"/>
      <c r="Q39" s="14"/>
      <c r="R39" s="14"/>
      <c r="S39" s="14"/>
      <c r="T39" s="14"/>
    </row>
    <row r="40" spans="1:20" x14ac:dyDescent="0.3">
      <c r="A40" t="s">
        <v>8</v>
      </c>
      <c r="B40" t="s">
        <v>74</v>
      </c>
      <c r="C40">
        <v>1518.0833333333333</v>
      </c>
      <c r="G40" s="21"/>
      <c r="H40" s="21" t="s">
        <v>109</v>
      </c>
      <c r="I40" s="21" t="s">
        <v>89</v>
      </c>
      <c r="J40" s="14"/>
      <c r="K40" s="14"/>
      <c r="L40" s="14"/>
      <c r="O40" s="18" t="s">
        <v>107</v>
      </c>
      <c r="P40" s="14"/>
      <c r="Q40" s="14"/>
      <c r="R40" s="14"/>
      <c r="S40" s="14"/>
      <c r="T40" s="14"/>
    </row>
    <row r="41" spans="1:20" x14ac:dyDescent="0.3">
      <c r="A41" t="s">
        <v>6</v>
      </c>
      <c r="B41" t="s">
        <v>75</v>
      </c>
      <c r="C41">
        <v>1536.3333333333333</v>
      </c>
      <c r="G41" s="21" t="s">
        <v>88</v>
      </c>
      <c r="H41" s="21">
        <v>0</v>
      </c>
      <c r="I41" s="21">
        <v>0</v>
      </c>
      <c r="J41" s="14"/>
      <c r="K41" s="14"/>
      <c r="L41" s="14"/>
      <c r="O41" s="14" t="s">
        <v>85</v>
      </c>
      <c r="P41" s="14"/>
      <c r="Q41" s="14"/>
      <c r="R41" s="14"/>
      <c r="S41" s="14"/>
      <c r="T41" s="14"/>
    </row>
    <row r="42" spans="1:20" x14ac:dyDescent="0.3">
      <c r="A42" t="s">
        <v>7</v>
      </c>
      <c r="B42" t="s">
        <v>75</v>
      </c>
      <c r="C42">
        <v>1604.5833333333333</v>
      </c>
      <c r="G42" s="14"/>
      <c r="H42" s="14"/>
      <c r="I42" s="14"/>
      <c r="J42" s="14"/>
      <c r="K42" s="14"/>
      <c r="L42" s="14"/>
    </row>
    <row r="43" spans="1:20" x14ac:dyDescent="0.3">
      <c r="A43" t="s">
        <v>8</v>
      </c>
      <c r="B43" t="s">
        <v>75</v>
      </c>
      <c r="C43">
        <v>1539.1666666666667</v>
      </c>
      <c r="G43" s="18" t="s">
        <v>111</v>
      </c>
      <c r="H43" s="14"/>
      <c r="I43" s="14"/>
      <c r="J43" s="14"/>
      <c r="K43" s="14"/>
      <c r="L43" s="14"/>
    </row>
    <row r="44" spans="1:20" x14ac:dyDescent="0.3">
      <c r="A44" t="s">
        <v>6</v>
      </c>
      <c r="B44" t="s">
        <v>75</v>
      </c>
      <c r="C44">
        <v>1205.5</v>
      </c>
      <c r="G44" s="14" t="s">
        <v>120</v>
      </c>
      <c r="H44" s="14"/>
      <c r="I44" s="14"/>
      <c r="J44" s="14"/>
      <c r="K44" s="14"/>
      <c r="L44" s="14"/>
    </row>
    <row r="45" spans="1:20" x14ac:dyDescent="0.3">
      <c r="A45" t="s">
        <v>7</v>
      </c>
      <c r="B45" t="s">
        <v>75</v>
      </c>
      <c r="C45">
        <v>1218.6666666666667</v>
      </c>
      <c r="G45" s="14"/>
      <c r="H45" s="14"/>
      <c r="I45" s="14"/>
      <c r="J45" s="14"/>
      <c r="K45" s="14"/>
      <c r="L45" s="14"/>
    </row>
    <row r="46" spans="1:20" x14ac:dyDescent="0.3">
      <c r="A46" t="s">
        <v>8</v>
      </c>
      <c r="B46" t="s">
        <v>75</v>
      </c>
      <c r="C46">
        <v>1249.25</v>
      </c>
      <c r="G46" s="21"/>
      <c r="H46" s="21" t="s">
        <v>113</v>
      </c>
      <c r="I46" s="21" t="s">
        <v>83</v>
      </c>
      <c r="J46" s="14"/>
      <c r="K46" s="14"/>
      <c r="L46" s="14"/>
    </row>
    <row r="47" spans="1:20" x14ac:dyDescent="0.3">
      <c r="A47" t="s">
        <v>6</v>
      </c>
      <c r="B47" t="s">
        <v>75</v>
      </c>
      <c r="C47">
        <v>1568.9166666666667</v>
      </c>
      <c r="G47" s="21" t="s">
        <v>112</v>
      </c>
      <c r="H47" s="38">
        <v>4410</v>
      </c>
      <c r="I47" s="21">
        <v>5000</v>
      </c>
      <c r="J47" s="14"/>
      <c r="K47" s="14"/>
      <c r="L47" s="14"/>
    </row>
    <row r="48" spans="1:20" x14ac:dyDescent="0.3">
      <c r="A48" t="s">
        <v>7</v>
      </c>
      <c r="B48" t="s">
        <v>75</v>
      </c>
      <c r="C48">
        <v>1555.25</v>
      </c>
      <c r="G48" s="14"/>
      <c r="H48" s="14"/>
      <c r="I48" s="14"/>
      <c r="J48" s="14"/>
      <c r="K48" s="14"/>
      <c r="L48" s="14"/>
    </row>
    <row r="49" spans="1:12" x14ac:dyDescent="0.3">
      <c r="A49" t="s">
        <v>8</v>
      </c>
      <c r="B49" t="s">
        <v>75</v>
      </c>
      <c r="C49">
        <v>1541.6666666666667</v>
      </c>
      <c r="G49" s="18" t="s">
        <v>114</v>
      </c>
      <c r="H49" s="14"/>
      <c r="I49" s="14"/>
      <c r="J49" s="14"/>
      <c r="K49" s="14"/>
      <c r="L49" s="14"/>
    </row>
    <row r="50" spans="1:12" x14ac:dyDescent="0.3">
      <c r="A50" t="s">
        <v>6</v>
      </c>
      <c r="B50" t="s">
        <v>75</v>
      </c>
      <c r="C50">
        <v>1207.75</v>
      </c>
      <c r="G50" s="14" t="s">
        <v>115</v>
      </c>
      <c r="H50" s="14"/>
      <c r="I50" s="14"/>
      <c r="J50" s="14"/>
      <c r="K50" s="14"/>
      <c r="L50" s="14"/>
    </row>
    <row r="51" spans="1:12" x14ac:dyDescent="0.3">
      <c r="A51" t="s">
        <v>7</v>
      </c>
      <c r="B51" t="s">
        <v>75</v>
      </c>
      <c r="C51">
        <v>1215.25</v>
      </c>
      <c r="G51" s="14" t="s">
        <v>116</v>
      </c>
      <c r="H51" s="14"/>
      <c r="I51" s="14"/>
      <c r="J51" s="14"/>
      <c r="K51" s="14"/>
      <c r="L51" s="14"/>
    </row>
    <row r="52" spans="1:12" x14ac:dyDescent="0.3">
      <c r="A52" t="s">
        <v>8</v>
      </c>
      <c r="B52" t="s">
        <v>75</v>
      </c>
      <c r="C52">
        <v>1186.5833333333333</v>
      </c>
      <c r="G52" s="14"/>
      <c r="H52" s="14"/>
      <c r="I52" s="14"/>
      <c r="J52" s="14"/>
      <c r="K52" s="14"/>
      <c r="L52" s="14"/>
    </row>
    <row r="53" spans="1:12" x14ac:dyDescent="0.3">
      <c r="A53" t="s">
        <v>6</v>
      </c>
      <c r="B53" t="s">
        <v>75</v>
      </c>
      <c r="C53">
        <v>1551.0833333333333</v>
      </c>
      <c r="G53" s="14"/>
      <c r="H53" s="14"/>
      <c r="I53" s="14"/>
      <c r="J53" s="14"/>
      <c r="K53" s="14"/>
      <c r="L53" s="14"/>
    </row>
    <row r="54" spans="1:12" x14ac:dyDescent="0.3">
      <c r="A54" t="s">
        <v>7</v>
      </c>
      <c r="B54" t="s">
        <v>75</v>
      </c>
      <c r="C54">
        <v>1590</v>
      </c>
      <c r="G54" s="18" t="s">
        <v>107</v>
      </c>
      <c r="H54" s="14"/>
      <c r="I54" s="14"/>
      <c r="J54" s="14"/>
      <c r="K54" s="14"/>
      <c r="L54" s="14"/>
    </row>
    <row r="55" spans="1:12" x14ac:dyDescent="0.3">
      <c r="A55" t="s">
        <v>8</v>
      </c>
      <c r="B55" t="s">
        <v>75</v>
      </c>
      <c r="C55">
        <v>1532.0833333333333</v>
      </c>
      <c r="G55" s="21" t="s">
        <v>86</v>
      </c>
      <c r="H55" s="21" t="s">
        <v>80</v>
      </c>
      <c r="I55" s="21" t="s">
        <v>117</v>
      </c>
      <c r="J55" s="14"/>
      <c r="K55" s="14"/>
      <c r="L55" s="14"/>
    </row>
    <row r="56" spans="1:12" x14ac:dyDescent="0.3">
      <c r="A56" t="s">
        <v>6</v>
      </c>
      <c r="B56" t="s">
        <v>75</v>
      </c>
      <c r="C56">
        <v>1559.3333333333333</v>
      </c>
      <c r="G56" s="21" t="s">
        <v>87</v>
      </c>
      <c r="H56" s="21" t="s">
        <v>80</v>
      </c>
      <c r="I56" s="21" t="s">
        <v>113</v>
      </c>
      <c r="J56" s="14"/>
      <c r="K56" s="14"/>
      <c r="L56" s="14"/>
    </row>
    <row r="57" spans="1:12" x14ac:dyDescent="0.3">
      <c r="A57" t="s">
        <v>7</v>
      </c>
      <c r="B57" t="s">
        <v>75</v>
      </c>
      <c r="C57">
        <v>1534.3333333333333</v>
      </c>
    </row>
    <row r="58" spans="1:12" x14ac:dyDescent="0.3">
      <c r="A58" t="s">
        <v>8</v>
      </c>
      <c r="B58" t="s">
        <v>75</v>
      </c>
      <c r="C58">
        <v>1557.75</v>
      </c>
    </row>
    <row r="59" spans="1:12" x14ac:dyDescent="0.3">
      <c r="A59" t="s">
        <v>6</v>
      </c>
      <c r="B59" t="s">
        <v>76</v>
      </c>
      <c r="C59">
        <v>1319.9166666666667</v>
      </c>
    </row>
    <row r="60" spans="1:12" x14ac:dyDescent="0.3">
      <c r="A60" t="s">
        <v>7</v>
      </c>
      <c r="B60" t="s">
        <v>76</v>
      </c>
      <c r="C60">
        <v>1375.75</v>
      </c>
    </row>
    <row r="61" spans="1:12" x14ac:dyDescent="0.3">
      <c r="A61" t="s">
        <v>8</v>
      </c>
      <c r="B61" t="s">
        <v>76</v>
      </c>
      <c r="C61">
        <v>1351.3333333333333</v>
      </c>
    </row>
    <row r="62" spans="1:12" x14ac:dyDescent="0.3">
      <c r="A62" t="s">
        <v>6</v>
      </c>
      <c r="B62" t="s">
        <v>76</v>
      </c>
      <c r="C62">
        <v>1651</v>
      </c>
    </row>
    <row r="63" spans="1:12" x14ac:dyDescent="0.3">
      <c r="A63" t="s">
        <v>7</v>
      </c>
      <c r="B63" t="s">
        <v>76</v>
      </c>
      <c r="C63">
        <v>1694.5833333333333</v>
      </c>
    </row>
    <row r="64" spans="1:12" x14ac:dyDescent="0.3">
      <c r="A64" t="s">
        <v>8</v>
      </c>
      <c r="B64" t="s">
        <v>76</v>
      </c>
      <c r="C64">
        <v>1682.25</v>
      </c>
    </row>
    <row r="65" spans="1:3" x14ac:dyDescent="0.3">
      <c r="A65" t="s">
        <v>6</v>
      </c>
      <c r="B65" t="s">
        <v>76</v>
      </c>
      <c r="C65">
        <v>1703.8333333333333</v>
      </c>
    </row>
    <row r="66" spans="1:3" x14ac:dyDescent="0.3">
      <c r="A66" t="s">
        <v>7</v>
      </c>
      <c r="B66" t="s">
        <v>76</v>
      </c>
      <c r="C66">
        <v>1748.8333333333333</v>
      </c>
    </row>
    <row r="67" spans="1:3" x14ac:dyDescent="0.3">
      <c r="A67" t="s">
        <v>8</v>
      </c>
      <c r="B67" t="s">
        <v>76</v>
      </c>
      <c r="C67">
        <v>1650.9166666666667</v>
      </c>
    </row>
    <row r="68" spans="1:3" x14ac:dyDescent="0.3">
      <c r="A68" t="s">
        <v>6</v>
      </c>
      <c r="B68" t="s">
        <v>76</v>
      </c>
      <c r="C68">
        <v>1674.1666666666667</v>
      </c>
    </row>
    <row r="69" spans="1:3" x14ac:dyDescent="0.3">
      <c r="A69" t="s">
        <v>7</v>
      </c>
      <c r="B69" t="s">
        <v>76</v>
      </c>
      <c r="C69">
        <v>1717.75</v>
      </c>
    </row>
    <row r="70" spans="1:3" x14ac:dyDescent="0.3">
      <c r="A70" t="s">
        <v>8</v>
      </c>
      <c r="B70" t="s">
        <v>76</v>
      </c>
      <c r="C70">
        <v>1699.25</v>
      </c>
    </row>
    <row r="71" spans="1:3" x14ac:dyDescent="0.3">
      <c r="A71" t="s">
        <v>6</v>
      </c>
      <c r="B71" t="s">
        <v>76</v>
      </c>
      <c r="C71">
        <v>1707</v>
      </c>
    </row>
    <row r="72" spans="1:3" x14ac:dyDescent="0.3">
      <c r="A72" t="s">
        <v>7</v>
      </c>
      <c r="B72" t="s">
        <v>76</v>
      </c>
      <c r="C72">
        <v>1680.5</v>
      </c>
    </row>
    <row r="73" spans="1:3" x14ac:dyDescent="0.3">
      <c r="A73" t="s">
        <v>8</v>
      </c>
      <c r="B73" t="s">
        <v>76</v>
      </c>
      <c r="C73">
        <v>1647.1666666666667</v>
      </c>
    </row>
    <row r="74" spans="1:3" x14ac:dyDescent="0.3">
      <c r="A74" t="s">
        <v>6</v>
      </c>
      <c r="B74" t="s">
        <v>76</v>
      </c>
      <c r="C74">
        <v>1346.75</v>
      </c>
    </row>
    <row r="75" spans="1:3" x14ac:dyDescent="0.3">
      <c r="A75" t="s">
        <v>7</v>
      </c>
      <c r="B75" t="s">
        <v>76</v>
      </c>
      <c r="C75">
        <v>1334.9166666666667</v>
      </c>
    </row>
    <row r="76" spans="1:3" x14ac:dyDescent="0.3">
      <c r="A76" t="s">
        <v>8</v>
      </c>
      <c r="B76" t="s">
        <v>76</v>
      </c>
      <c r="C76">
        <v>1331.9166666666667</v>
      </c>
    </row>
    <row r="77" spans="1:3" x14ac:dyDescent="0.3">
      <c r="A77" t="s">
        <v>6</v>
      </c>
      <c r="B77" t="s">
        <v>76</v>
      </c>
      <c r="C77">
        <v>1721.1666666666667</v>
      </c>
    </row>
    <row r="78" spans="1:3" x14ac:dyDescent="0.3">
      <c r="A78" t="s">
        <v>7</v>
      </c>
      <c r="B78" t="s">
        <v>76</v>
      </c>
      <c r="C78">
        <v>1652.6666666666667</v>
      </c>
    </row>
    <row r="79" spans="1:3" x14ac:dyDescent="0.3">
      <c r="A79" t="s">
        <v>8</v>
      </c>
      <c r="B79" t="s">
        <v>76</v>
      </c>
      <c r="C79">
        <v>1706.8333333333333</v>
      </c>
    </row>
    <row r="80" spans="1:3" x14ac:dyDescent="0.3">
      <c r="A80" t="s">
        <v>6</v>
      </c>
      <c r="B80" t="s">
        <v>76</v>
      </c>
      <c r="C80">
        <v>1524.75</v>
      </c>
    </row>
    <row r="81" spans="1:3" x14ac:dyDescent="0.3">
      <c r="A81" t="s">
        <v>7</v>
      </c>
      <c r="B81" t="s">
        <v>76</v>
      </c>
      <c r="C81">
        <v>1639.9166666666667</v>
      </c>
    </row>
    <row r="82" spans="1:3" x14ac:dyDescent="0.3">
      <c r="A82" t="s">
        <v>8</v>
      </c>
      <c r="B82" t="s">
        <v>76</v>
      </c>
      <c r="C82">
        <v>1695.6666666666667</v>
      </c>
    </row>
    <row r="83" spans="1:3" x14ac:dyDescent="0.3">
      <c r="A83" t="s">
        <v>6</v>
      </c>
      <c r="B83" t="s">
        <v>76</v>
      </c>
      <c r="C83">
        <v>1674.1666666666667</v>
      </c>
    </row>
    <row r="84" spans="1:3" x14ac:dyDescent="0.3">
      <c r="A84" t="s">
        <v>7</v>
      </c>
      <c r="B84" t="s">
        <v>76</v>
      </c>
      <c r="C84">
        <v>1671.0833333333333</v>
      </c>
    </row>
    <row r="85" spans="1:3" x14ac:dyDescent="0.3">
      <c r="A85" t="s">
        <v>8</v>
      </c>
      <c r="B85" t="s">
        <v>76</v>
      </c>
      <c r="C85">
        <v>1597.6666666666667</v>
      </c>
    </row>
    <row r="86" spans="1:3" x14ac:dyDescent="0.3">
      <c r="A86" t="s">
        <v>6</v>
      </c>
      <c r="B86" t="s">
        <v>76</v>
      </c>
      <c r="C86">
        <v>1670.1666666666667</v>
      </c>
    </row>
    <row r="87" spans="1:3" x14ac:dyDescent="0.3">
      <c r="A87" t="s">
        <v>7</v>
      </c>
      <c r="B87" t="s">
        <v>76</v>
      </c>
      <c r="C87">
        <v>1710.6666666666667</v>
      </c>
    </row>
    <row r="88" spans="1:3" x14ac:dyDescent="0.3">
      <c r="A88" t="s">
        <v>8</v>
      </c>
      <c r="B88" t="s">
        <v>76</v>
      </c>
      <c r="C88">
        <v>1693.1666666666667</v>
      </c>
    </row>
    <row r="89" spans="1:3" x14ac:dyDescent="0.3">
      <c r="A89" t="s">
        <v>6</v>
      </c>
      <c r="B89" t="s">
        <v>76</v>
      </c>
      <c r="C89">
        <v>1685.0833333333333</v>
      </c>
    </row>
    <row r="90" spans="1:3" x14ac:dyDescent="0.3">
      <c r="A90" t="s">
        <v>7</v>
      </c>
      <c r="B90" t="s">
        <v>76</v>
      </c>
      <c r="C90">
        <v>1693.1666666666667</v>
      </c>
    </row>
    <row r="91" spans="1:3" x14ac:dyDescent="0.3">
      <c r="A91" t="s">
        <v>8</v>
      </c>
      <c r="B91" t="s">
        <v>76</v>
      </c>
      <c r="C91">
        <v>1682.9166666666667</v>
      </c>
    </row>
  </sheetData>
  <mergeCells count="3">
    <mergeCell ref="G4:L4"/>
    <mergeCell ref="G14:L14"/>
    <mergeCell ref="O13:T1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D351-F89B-4327-999D-A2109763DB3E}">
  <dimension ref="A1:M54"/>
  <sheetViews>
    <sheetView topLeftCell="A45" workbookViewId="0">
      <selection activeCell="K9" sqref="K9"/>
    </sheetView>
  </sheetViews>
  <sheetFormatPr defaultRowHeight="14.4" x14ac:dyDescent="0.3"/>
  <cols>
    <col min="1" max="1" width="6.77734375" bestFit="1" customWidth="1"/>
    <col min="2" max="2" width="14.77734375" bestFit="1" customWidth="1"/>
    <col min="3" max="3" width="11.6640625" bestFit="1" customWidth="1"/>
    <col min="4" max="4" width="16.33203125" bestFit="1" customWidth="1"/>
    <col min="5" max="5" width="18" bestFit="1" customWidth="1"/>
    <col min="6" max="6" width="15.77734375" bestFit="1" customWidth="1"/>
    <col min="7" max="8" width="12.88671875" bestFit="1" customWidth="1"/>
    <col min="9" max="9" width="13.33203125" customWidth="1"/>
    <col min="12" max="13" width="0" hidden="1" customWidth="1"/>
  </cols>
  <sheetData>
    <row r="1" spans="1:13" x14ac:dyDescent="0.3">
      <c r="A1" t="s">
        <v>2</v>
      </c>
      <c r="B1" t="s">
        <v>4</v>
      </c>
      <c r="C1" t="s">
        <v>9</v>
      </c>
      <c r="D1" t="s">
        <v>10</v>
      </c>
      <c r="E1" t="s">
        <v>11</v>
      </c>
      <c r="F1" t="s">
        <v>15</v>
      </c>
      <c r="G1" t="s">
        <v>63</v>
      </c>
      <c r="I1" t="s">
        <v>68</v>
      </c>
      <c r="J1" t="s">
        <v>69</v>
      </c>
    </row>
    <row r="2" spans="1:13" x14ac:dyDescent="0.3">
      <c r="A2">
        <v>2025</v>
      </c>
      <c r="B2">
        <v>1</v>
      </c>
      <c r="C2">
        <v>115</v>
      </c>
      <c r="D2">
        <v>139</v>
      </c>
      <c r="E2">
        <v>1</v>
      </c>
      <c r="F2">
        <v>109</v>
      </c>
      <c r="G2">
        <v>3</v>
      </c>
      <c r="I2">
        <f>$M$2+$M$3*df_test[[#This Row],[stock_available]]+$M$4*df_test[[#This Row],[promotion_binary]]+$M$5*df_test[[#This Row],[rolling_mean_4]]+$M$6*df_test[[#This Row],[momentum]]</f>
        <v>115.41162108325925</v>
      </c>
      <c r="J2" s="2">
        <f>ABS((df_test[[#This Row],[units_sold]]-I2)/df_test[[#This Row],[units_sold]])</f>
        <v>3.579313767471727E-3</v>
      </c>
      <c r="L2" t="s">
        <v>49</v>
      </c>
      <c r="M2">
        <v>-68.303192502013317</v>
      </c>
    </row>
    <row r="3" spans="1:13" x14ac:dyDescent="0.3">
      <c r="A3">
        <v>2025</v>
      </c>
      <c r="B3">
        <v>2</v>
      </c>
      <c r="C3">
        <v>85</v>
      </c>
      <c r="D3">
        <v>155</v>
      </c>
      <c r="E3">
        <v>0</v>
      </c>
      <c r="F3">
        <v>125.5</v>
      </c>
      <c r="G3">
        <v>-10</v>
      </c>
      <c r="I3">
        <f>$M$2+$M$3*df_test[[#This Row],[stock_available]]+$M$4*df_test[[#This Row],[promotion_binary]]+$M$5*df_test[[#This Row],[rolling_mean_4]]+$M$6*df_test[[#This Row],[momentum]]</f>
        <v>104.14252182440576</v>
      </c>
      <c r="J3" s="2">
        <f>ABS((df_test[[#This Row],[units_sold]]-I3)/df_test[[#This Row],[units_sold]])</f>
        <v>0.22520613911065601</v>
      </c>
      <c r="L3" t="s">
        <v>10</v>
      </c>
      <c r="M3">
        <v>0.61807112293789201</v>
      </c>
    </row>
    <row r="4" spans="1:13" x14ac:dyDescent="0.3">
      <c r="A4">
        <v>2025</v>
      </c>
      <c r="B4">
        <v>3</v>
      </c>
      <c r="C4">
        <v>195</v>
      </c>
      <c r="D4">
        <v>166.5</v>
      </c>
      <c r="E4">
        <v>1</v>
      </c>
      <c r="F4">
        <v>111.75</v>
      </c>
      <c r="G4">
        <v>-30</v>
      </c>
      <c r="I4">
        <f>$M$2+$M$3*df_test[[#This Row],[stock_available]]+$M$4*df_test[[#This Row],[promotion_binary]]+$M$5*df_test[[#This Row],[rolling_mean_4]]+$M$6*df_test[[#This Row],[momentum]]</f>
        <v>127.54471749509567</v>
      </c>
      <c r="J4" s="2">
        <f>ABS((df_test[[#This Row],[units_sold]]-I4)/df_test[[#This Row],[units_sold]])</f>
        <v>0.34592452566617604</v>
      </c>
      <c r="L4" t="s">
        <v>11</v>
      </c>
      <c r="M4">
        <v>28.902558145687454</v>
      </c>
    </row>
    <row r="5" spans="1:13" x14ac:dyDescent="0.3">
      <c r="A5">
        <v>2025</v>
      </c>
      <c r="B5">
        <v>4</v>
      </c>
      <c r="C5">
        <v>108</v>
      </c>
      <c r="D5">
        <v>175.6</v>
      </c>
      <c r="E5">
        <v>0</v>
      </c>
      <c r="F5">
        <v>130</v>
      </c>
      <c r="G5">
        <v>110</v>
      </c>
      <c r="I5">
        <f>$M$2+$M$3*df_test[[#This Row],[stock_available]]+$M$4*df_test[[#This Row],[promotion_binary]]+$M$5*df_test[[#This Row],[rolling_mean_4]]+$M$6*df_test[[#This Row],[momentum]]</f>
        <v>143.64753405786701</v>
      </c>
      <c r="J5" s="2">
        <f>ABS((df_test[[#This Row],[units_sold]]-I5)/df_test[[#This Row],[units_sold]])</f>
        <v>0.33006975979506487</v>
      </c>
      <c r="L5" t="s">
        <v>15</v>
      </c>
      <c r="M5">
        <v>0.62661968245845123</v>
      </c>
    </row>
    <row r="6" spans="1:13" ht="15" thickBot="1" x14ac:dyDescent="0.35">
      <c r="A6">
        <v>2025</v>
      </c>
      <c r="B6">
        <v>5</v>
      </c>
      <c r="C6">
        <v>113</v>
      </c>
      <c r="D6">
        <v>154.666666666666</v>
      </c>
      <c r="E6">
        <v>0</v>
      </c>
      <c r="F6">
        <v>125.75</v>
      </c>
      <c r="G6">
        <v>-87</v>
      </c>
      <c r="I6">
        <f>$M$2+$M$3*df_test[[#This Row],[stock_available]]+$M$4*df_test[[#This Row],[promotion_binary]]+$M$5*df_test[[#This Row],[rolling_mean_4]]+$M$6*df_test[[#This Row],[momentum]]</f>
        <v>88.723337980702524</v>
      </c>
      <c r="J6" s="2">
        <f>ABS((df_test[[#This Row],[units_sold]]-I6)/df_test[[#This Row],[units_sold]])</f>
        <v>0.21483771698493342</v>
      </c>
      <c r="L6" s="1" t="s">
        <v>63</v>
      </c>
      <c r="M6" s="1">
        <v>0.19960798774898036</v>
      </c>
    </row>
    <row r="7" spans="1:13" x14ac:dyDescent="0.3">
      <c r="A7">
        <v>2025</v>
      </c>
      <c r="B7">
        <v>6</v>
      </c>
      <c r="C7">
        <v>153</v>
      </c>
      <c r="D7">
        <v>179</v>
      </c>
      <c r="E7">
        <v>1</v>
      </c>
      <c r="F7">
        <v>125.25</v>
      </c>
      <c r="G7">
        <v>5</v>
      </c>
      <c r="I7">
        <f>$M$2+$M$3*df_test[[#This Row],[stock_available]]+$M$4*df_test[[#This Row],[promotion_binary]]+$M$5*df_test[[#This Row],[rolling_mean_4]]+$M$6*df_test[[#This Row],[momentum]]</f>
        <v>150.71625181622272</v>
      </c>
      <c r="J7" s="2">
        <f>ABS((df_test[[#This Row],[units_sold]]-I7)/df_test[[#This Row],[units_sold]])</f>
        <v>1.4926458717498543E-2</v>
      </c>
    </row>
    <row r="8" spans="1:13" x14ac:dyDescent="0.3">
      <c r="A8">
        <v>2025</v>
      </c>
      <c r="B8">
        <v>7</v>
      </c>
      <c r="C8">
        <v>119</v>
      </c>
      <c r="D8">
        <v>149.333333333333</v>
      </c>
      <c r="E8">
        <v>0</v>
      </c>
      <c r="F8">
        <v>142.25</v>
      </c>
      <c r="G8">
        <v>40</v>
      </c>
      <c r="I8">
        <f>$M$2+$M$3*df_test[[#This Row],[stock_available]]+$M$4*df_test[[#This Row],[promotion_binary]]+$M$5*df_test[[#This Row],[rolling_mean_4]]+$M$6*df_test[[#This Row],[momentum]]</f>
        <v>121.11639786305226</v>
      </c>
      <c r="J8" s="2">
        <f>ABS((df_test[[#This Row],[units_sold]]-I8)/df_test[[#This Row],[units_sold]])</f>
        <v>1.7784855992035768E-2</v>
      </c>
    </row>
    <row r="9" spans="1:13" x14ac:dyDescent="0.3">
      <c r="A9">
        <v>2025</v>
      </c>
      <c r="B9">
        <v>8</v>
      </c>
      <c r="C9">
        <v>137</v>
      </c>
      <c r="D9">
        <v>158.166666666666</v>
      </c>
      <c r="E9">
        <v>1</v>
      </c>
      <c r="F9">
        <v>123.25</v>
      </c>
      <c r="G9">
        <v>-34</v>
      </c>
      <c r="I9">
        <f>$M$2+$M$3*df_test[[#This Row],[stock_available]]+$M$4*df_test[[#This Row],[promotion_binary]]+$M$5*df_test[[#This Row],[rolling_mean_4]]+$M$6*df_test[[#This Row],[momentum]]</f>
        <v>128.80181920122243</v>
      </c>
      <c r="J9" s="2">
        <f>ABS((df_test[[#This Row],[units_sold]]-I9)/df_test[[#This Row],[units_sold]])</f>
        <v>5.984073575750052E-2</v>
      </c>
    </row>
    <row r="10" spans="1:13" x14ac:dyDescent="0.3">
      <c r="A10">
        <v>2025</v>
      </c>
      <c r="B10">
        <v>9</v>
      </c>
      <c r="C10">
        <v>81</v>
      </c>
      <c r="D10">
        <v>136.4</v>
      </c>
      <c r="E10">
        <v>0</v>
      </c>
      <c r="F10">
        <v>130.5</v>
      </c>
      <c r="G10">
        <v>18</v>
      </c>
      <c r="I10">
        <f>$M$2+$M$3*df_test[[#This Row],[stock_available]]+$M$4*df_test[[#This Row],[promotion_binary]]+$M$5*df_test[[#This Row],[rolling_mean_4]]+$M$6*df_test[[#This Row],[momentum]]</f>
        <v>101.3685210070247</v>
      </c>
      <c r="J10" s="2">
        <f>ABS((df_test[[#This Row],[units_sold]]-I10)/df_test[[#This Row],[units_sold]])</f>
        <v>0.25146322230894685</v>
      </c>
    </row>
    <row r="11" spans="1:13" x14ac:dyDescent="0.3">
      <c r="A11">
        <v>2025</v>
      </c>
      <c r="B11">
        <v>10</v>
      </c>
      <c r="C11">
        <v>159</v>
      </c>
      <c r="D11">
        <v>178</v>
      </c>
      <c r="E11">
        <v>1</v>
      </c>
      <c r="F11">
        <v>122.5</v>
      </c>
      <c r="G11">
        <v>-56</v>
      </c>
      <c r="I11">
        <f>$M$2+$M$3*df_test[[#This Row],[stock_available]]+$M$4*df_test[[#This Row],[promotion_binary]]+$M$5*df_test[[#This Row],[rolling_mean_4]]+$M$6*df_test[[#This Row],[momentum]]</f>
        <v>136.19888931383628</v>
      </c>
      <c r="J11" s="2">
        <f>ABS((df_test[[#This Row],[units_sold]]-I11)/df_test[[#This Row],[units_sold]])</f>
        <v>0.14340321186266494</v>
      </c>
    </row>
    <row r="12" spans="1:13" x14ac:dyDescent="0.3">
      <c r="A12">
        <v>2025</v>
      </c>
      <c r="B12">
        <v>11</v>
      </c>
      <c r="C12">
        <v>87</v>
      </c>
      <c r="D12">
        <v>186.5</v>
      </c>
      <c r="E12">
        <v>0</v>
      </c>
      <c r="F12">
        <v>124</v>
      </c>
      <c r="G12">
        <v>78</v>
      </c>
      <c r="I12">
        <f>$M$2+$M$3*df_test[[#This Row],[stock_available]]+$M$4*df_test[[#This Row],[promotion_binary]]+$M$5*df_test[[#This Row],[rolling_mean_4]]+$M$6*df_test[[#This Row],[momentum]]</f>
        <v>140.23733559517197</v>
      </c>
      <c r="J12" s="2">
        <f>ABS((df_test[[#This Row],[units_sold]]-I12)/df_test[[#This Row],[units_sold]])</f>
        <v>0.61192339764565484</v>
      </c>
    </row>
    <row r="13" spans="1:13" x14ac:dyDescent="0.3">
      <c r="A13">
        <v>2025</v>
      </c>
      <c r="B13">
        <v>12</v>
      </c>
      <c r="C13">
        <v>145</v>
      </c>
      <c r="D13">
        <v>179.42857142857099</v>
      </c>
      <c r="E13">
        <v>0</v>
      </c>
      <c r="F13">
        <v>116</v>
      </c>
      <c r="G13">
        <v>-72</v>
      </c>
      <c r="I13">
        <f>$M$2+$M$3*df_test[[#This Row],[stock_available]]+$M$4*df_test[[#This Row],[promotion_binary]]+$M$5*df_test[[#This Row],[rolling_mean_4]]+$M$6*df_test[[#This Row],[momentum]]</f>
        <v>100.91253417523907</v>
      </c>
      <c r="J13" s="2">
        <f>ABS((df_test[[#This Row],[units_sold]]-I13)/df_test[[#This Row],[units_sold]])</f>
        <v>0.30405148844662705</v>
      </c>
    </row>
    <row r="14" spans="1:13" x14ac:dyDescent="0.3">
      <c r="A14">
        <v>2025</v>
      </c>
      <c r="B14">
        <v>13</v>
      </c>
      <c r="C14">
        <v>125</v>
      </c>
      <c r="D14">
        <v>151.142857142857</v>
      </c>
      <c r="E14">
        <v>1</v>
      </c>
      <c r="F14">
        <v>118</v>
      </c>
      <c r="G14">
        <v>58</v>
      </c>
      <c r="I14">
        <f>$M$2+$M$3*df_test[[#This Row],[stock_available]]+$M$4*df_test[[#This Row],[promotion_binary]]+$M$5*df_test[[#This Row],[rolling_mean_4]]+$M$6*df_test[[#This Row],[momentum]]</f>
        <v>139.53478690153926</v>
      </c>
      <c r="J14" s="2">
        <f>ABS((df_test[[#This Row],[units_sold]]-I14)/df_test[[#This Row],[units_sold]])</f>
        <v>0.1162782952123141</v>
      </c>
    </row>
    <row r="15" spans="1:13" x14ac:dyDescent="0.3">
      <c r="A15">
        <v>2025</v>
      </c>
      <c r="B15">
        <v>14</v>
      </c>
      <c r="C15">
        <v>149</v>
      </c>
      <c r="D15">
        <v>175.166666666666</v>
      </c>
      <c r="E15">
        <v>1</v>
      </c>
      <c r="F15">
        <v>129</v>
      </c>
      <c r="G15">
        <v>-20</v>
      </c>
      <c r="I15">
        <f>$M$2+$M$3*df_test[[#This Row],[stock_available]]+$M$4*df_test[[#This Row],[promotion_binary]]+$M$5*df_test[[#This Row],[rolling_mean_4]]+$M$6*df_test[[#This Row],[momentum]]</f>
        <v>145.70660329378839</v>
      </c>
      <c r="J15" s="2">
        <f>ABS((df_test[[#This Row],[units_sold]]-I15)/df_test[[#This Row],[units_sold]])</f>
        <v>2.2103333598735637E-2</v>
      </c>
    </row>
    <row r="16" spans="1:13" x14ac:dyDescent="0.3">
      <c r="A16">
        <v>2025</v>
      </c>
      <c r="B16">
        <v>15</v>
      </c>
      <c r="C16">
        <v>121</v>
      </c>
      <c r="D16">
        <v>151.42857142857099</v>
      </c>
      <c r="E16">
        <v>0</v>
      </c>
      <c r="F16">
        <v>126.5</v>
      </c>
      <c r="G16">
        <v>24</v>
      </c>
      <c r="I16">
        <f>$M$2+$M$3*df_test[[#This Row],[stock_available]]+$M$4*df_test[[#This Row],[promotion_binary]]+$M$5*df_test[[#This Row],[rolling_mean_4]]+$M$6*df_test[[#This Row],[momentum]]</f>
        <v>109.34841622269396</v>
      </c>
      <c r="J16" s="2">
        <f>ABS((df_test[[#This Row],[units_sold]]-I16)/df_test[[#This Row],[units_sold]])</f>
        <v>9.6294080804182183E-2</v>
      </c>
    </row>
    <row r="17" spans="1:10" x14ac:dyDescent="0.3">
      <c r="A17">
        <v>2025</v>
      </c>
      <c r="B17">
        <v>16</v>
      </c>
      <c r="C17">
        <v>146</v>
      </c>
      <c r="D17">
        <v>164.71428571428501</v>
      </c>
      <c r="E17">
        <v>1</v>
      </c>
      <c r="F17">
        <v>135</v>
      </c>
      <c r="G17">
        <v>-28</v>
      </c>
      <c r="I17">
        <f>$M$2+$M$3*df_test[[#This Row],[stock_available]]+$M$4*df_test[[#This Row],[promotion_binary]]+$M$5*df_test[[#This Row],[rolling_mean_4]]+$M$6*df_test[[#This Row],[momentum]]</f>
        <v>141.40914265393451</v>
      </c>
      <c r="J17" s="2">
        <f>ABS((df_test[[#This Row],[units_sold]]-I17)/df_test[[#This Row],[units_sold]])</f>
        <v>3.1444228397708843E-2</v>
      </c>
    </row>
    <row r="18" spans="1:10" x14ac:dyDescent="0.3">
      <c r="A18">
        <v>2025</v>
      </c>
      <c r="B18">
        <v>17</v>
      </c>
      <c r="C18">
        <v>84</v>
      </c>
      <c r="D18">
        <v>111.333333333333</v>
      </c>
      <c r="E18">
        <v>1</v>
      </c>
      <c r="F18">
        <v>135.25</v>
      </c>
      <c r="G18">
        <v>25</v>
      </c>
      <c r="I18">
        <f>$M$2+$M$3*df_test[[#This Row],[stock_available]]+$M$4*df_test[[#This Row],[promotion_binary]]+$M$5*df_test[[#This Row],[rolling_mean_4]]+$M$6*df_test[[#This Row],[momentum]]</f>
        <v>119.15179574365595</v>
      </c>
      <c r="J18" s="2">
        <f>ABS((df_test[[#This Row],[units_sold]]-I18)/df_test[[#This Row],[units_sold]])</f>
        <v>0.41847375885304705</v>
      </c>
    </row>
    <row r="19" spans="1:10" x14ac:dyDescent="0.3">
      <c r="A19">
        <v>2025</v>
      </c>
      <c r="B19">
        <v>18</v>
      </c>
      <c r="C19">
        <v>110</v>
      </c>
      <c r="D19">
        <v>168.166666666666</v>
      </c>
      <c r="E19">
        <v>0</v>
      </c>
      <c r="F19">
        <v>125</v>
      </c>
      <c r="G19">
        <v>-62</v>
      </c>
      <c r="I19">
        <f>$M$2+$M$3*df_test[[#This Row],[stock_available]]+$M$4*df_test[[#This Row],[promotion_binary]]+$M$5*df_test[[#This Row],[rolling_mean_4]]+$M$6*df_test[[#This Row],[momentum]]</f>
        <v>101.58753307224474</v>
      </c>
      <c r="J19" s="2">
        <f>ABS((df_test[[#This Row],[units_sold]]-I19)/df_test[[#This Row],[units_sold]])</f>
        <v>7.6476972070502372E-2</v>
      </c>
    </row>
    <row r="20" spans="1:10" x14ac:dyDescent="0.3">
      <c r="A20">
        <v>2025</v>
      </c>
      <c r="B20">
        <v>19</v>
      </c>
      <c r="C20">
        <v>102</v>
      </c>
      <c r="D20">
        <v>169.333333333333</v>
      </c>
      <c r="E20">
        <v>0</v>
      </c>
      <c r="F20">
        <v>115.25</v>
      </c>
      <c r="G20">
        <v>26</v>
      </c>
      <c r="I20">
        <f>$M$2+$M$3*df_test[[#This Row],[stock_available]]+$M$4*df_test[[#This Row],[promotion_binary]]+$M$5*df_test[[#This Row],[rolling_mean_4]]+$M$6*df_test[[#This Row],[momentum]]</f>
        <v>113.76457706694617</v>
      </c>
      <c r="J20" s="2">
        <f>ABS((df_test[[#This Row],[units_sold]]-I20)/df_test[[#This Row],[units_sold]])</f>
        <v>0.11533899085241348</v>
      </c>
    </row>
    <row r="21" spans="1:10" x14ac:dyDescent="0.3">
      <c r="A21">
        <v>2025</v>
      </c>
      <c r="B21">
        <v>20</v>
      </c>
      <c r="C21">
        <v>85</v>
      </c>
      <c r="D21">
        <v>160.5</v>
      </c>
      <c r="E21">
        <v>0</v>
      </c>
      <c r="F21">
        <v>110.5</v>
      </c>
      <c r="G21">
        <v>-8</v>
      </c>
      <c r="I21">
        <f>$M$2+$M$3*df_test[[#This Row],[stock_available]]+$M$4*df_test[[#This Row],[promotion_binary]]+$M$5*df_test[[#This Row],[rolling_mean_4]]+$M$6*df_test[[#This Row],[momentum]]</f>
        <v>98.541833739185364</v>
      </c>
      <c r="J21" s="2">
        <f>ABS((df_test[[#This Row],[units_sold]]-I21)/df_test[[#This Row],[units_sold]])</f>
        <v>0.15931569104923957</v>
      </c>
    </row>
    <row r="22" spans="1:10" x14ac:dyDescent="0.3">
      <c r="A22">
        <v>2025</v>
      </c>
      <c r="B22">
        <v>21</v>
      </c>
      <c r="C22">
        <v>132</v>
      </c>
      <c r="D22">
        <v>171.85714285714201</v>
      </c>
      <c r="E22">
        <v>0</v>
      </c>
      <c r="F22">
        <v>95.25</v>
      </c>
      <c r="G22">
        <v>-17</v>
      </c>
      <c r="I22">
        <f>$M$2+$M$3*df_test[[#This Row],[stock_available]]+$M$4*df_test[[#This Row],[promotion_binary]]+$M$5*df_test[[#This Row],[rolling_mean_4]]+$M$6*df_test[[#This Row],[momentum]]</f>
        <v>94.208933731032985</v>
      </c>
      <c r="J22" s="2">
        <f>ABS((df_test[[#This Row],[units_sold]]-I22)/df_test[[#This Row],[units_sold]])</f>
        <v>0.28629595658308343</v>
      </c>
    </row>
    <row r="23" spans="1:10" x14ac:dyDescent="0.3">
      <c r="A23">
        <v>2025</v>
      </c>
      <c r="B23">
        <v>22</v>
      </c>
      <c r="C23">
        <v>102</v>
      </c>
      <c r="D23">
        <v>189</v>
      </c>
      <c r="E23">
        <v>0</v>
      </c>
      <c r="F23">
        <v>107.25</v>
      </c>
      <c r="G23">
        <v>47</v>
      </c>
      <c r="I23">
        <f>$M$2+$M$3*df_test[[#This Row],[stock_available]]+$M$4*df_test[[#This Row],[promotion_binary]]+$M$5*df_test[[#This Row],[rolling_mean_4]]+$M$6*df_test[[#This Row],[momentum]]</f>
        <v>125.09878610111925</v>
      </c>
      <c r="J23" s="2">
        <f>ABS((df_test[[#This Row],[units_sold]]-I23)/df_test[[#This Row],[units_sold]])</f>
        <v>0.22645868726587495</v>
      </c>
    </row>
    <row r="24" spans="1:10" x14ac:dyDescent="0.3">
      <c r="A24">
        <v>2025</v>
      </c>
      <c r="B24">
        <v>23</v>
      </c>
      <c r="C24">
        <v>111</v>
      </c>
      <c r="D24">
        <v>153</v>
      </c>
      <c r="E24">
        <v>1</v>
      </c>
      <c r="F24">
        <v>105.25</v>
      </c>
      <c r="G24">
        <v>-30</v>
      </c>
      <c r="I24">
        <f>$M$2+$M$3*df_test[[#This Row],[stock_available]]+$M$4*df_test[[#This Row],[promotion_binary]]+$M$5*df_test[[#This Row],[rolling_mean_4]]+$M$6*df_test[[#This Row],[momentum]]</f>
        <v>115.12772939945418</v>
      </c>
      <c r="J24" s="2">
        <f>ABS((df_test[[#This Row],[units_sold]]-I24)/df_test[[#This Row],[units_sold]])</f>
        <v>3.7186751346434073E-2</v>
      </c>
    </row>
    <row r="25" spans="1:10" x14ac:dyDescent="0.3">
      <c r="A25">
        <v>2025</v>
      </c>
      <c r="B25">
        <v>24</v>
      </c>
      <c r="C25">
        <v>132</v>
      </c>
      <c r="D25">
        <v>180</v>
      </c>
      <c r="E25">
        <v>1</v>
      </c>
      <c r="F25">
        <v>107.5</v>
      </c>
      <c r="G25">
        <v>9</v>
      </c>
      <c r="I25">
        <f>$M$2+$M$3*df_test[[#This Row],[stock_available]]+$M$4*df_test[[#This Row],[promotion_binary]]+$M$5*df_test[[#This Row],[rolling_mean_4]]+$M$6*df_test[[#This Row],[momentum]]</f>
        <v>141.01025552651902</v>
      </c>
      <c r="J25" s="2">
        <f>ABS((df_test[[#This Row],[units_sold]]-I25)/df_test[[#This Row],[units_sold]])</f>
        <v>6.8259511564538008E-2</v>
      </c>
    </row>
    <row r="26" spans="1:10" x14ac:dyDescent="0.3">
      <c r="A26">
        <v>2025</v>
      </c>
      <c r="B26">
        <v>25</v>
      </c>
      <c r="C26">
        <v>121</v>
      </c>
      <c r="D26">
        <v>149</v>
      </c>
      <c r="E26">
        <v>1</v>
      </c>
      <c r="F26">
        <v>119.25</v>
      </c>
      <c r="G26">
        <v>21</v>
      </c>
      <c r="I26">
        <f>$M$2+$M$3*df_test[[#This Row],[stock_available]]+$M$4*df_test[[#This Row],[promotion_binary]]+$M$5*df_test[[#This Row],[rolling_mean_4]]+$M$6*df_test[[#This Row],[momentum]]</f>
        <v>131.60812783731896</v>
      </c>
      <c r="J26" s="2">
        <f>ABS((df_test[[#This Row],[units_sold]]-I26)/df_test[[#This Row],[units_sold]])</f>
        <v>8.7670477994371568E-2</v>
      </c>
    </row>
    <row r="27" spans="1:10" x14ac:dyDescent="0.3">
      <c r="A27">
        <v>2025</v>
      </c>
      <c r="B27">
        <v>26</v>
      </c>
      <c r="C27">
        <v>49</v>
      </c>
      <c r="D27">
        <v>125.75</v>
      </c>
      <c r="E27">
        <v>0</v>
      </c>
      <c r="F27">
        <v>116.5</v>
      </c>
      <c r="G27">
        <v>-11</v>
      </c>
      <c r="I27">
        <f>$M$2+$M$3*df_test[[#This Row],[stock_available]]+$M$4*df_test[[#This Row],[promotion_binary]]+$M$5*df_test[[#This Row],[rolling_mean_4]]+$M$6*df_test[[#This Row],[momentum]]</f>
        <v>80.224756348597381</v>
      </c>
      <c r="J27" s="2">
        <f>ABS((df_test[[#This Row],[units_sold]]-I27)/df_test[[#This Row],[units_sold]])</f>
        <v>0.63723992548157926</v>
      </c>
    </row>
    <row r="28" spans="1:10" x14ac:dyDescent="0.3">
      <c r="A28">
        <v>2025</v>
      </c>
      <c r="B28">
        <v>27</v>
      </c>
      <c r="C28">
        <v>78</v>
      </c>
      <c r="D28">
        <v>148.5</v>
      </c>
      <c r="E28">
        <v>0</v>
      </c>
      <c r="F28">
        <v>103.25</v>
      </c>
      <c r="G28">
        <v>-72</v>
      </c>
      <c r="I28">
        <f>$M$2+$M$3*df_test[[#This Row],[stock_available]]+$M$4*df_test[[#This Row],[promotion_binary]]+$M$5*df_test[[#This Row],[rolling_mean_4]]+$M$6*df_test[[#This Row],[momentum]]</f>
        <v>73.807076350172153</v>
      </c>
      <c r="J28" s="2">
        <f>ABS((df_test[[#This Row],[units_sold]]-I28)/df_test[[#This Row],[units_sold]])</f>
        <v>5.3755431408049323E-2</v>
      </c>
    </row>
    <row r="29" spans="1:10" x14ac:dyDescent="0.3">
      <c r="A29">
        <v>2025</v>
      </c>
      <c r="B29">
        <v>28</v>
      </c>
      <c r="C29">
        <v>116</v>
      </c>
      <c r="D29">
        <v>173.42857142857099</v>
      </c>
      <c r="E29">
        <v>1</v>
      </c>
      <c r="F29">
        <v>95</v>
      </c>
      <c r="G29">
        <v>29</v>
      </c>
      <c r="I29">
        <f>$M$2+$M$3*df_test[[#This Row],[stock_available]]+$M$4*df_test[[#This Row],[promotion_binary]]+$M$5*df_test[[#This Row],[rolling_mean_4]]+$M$6*df_test[[#This Row],[momentum]]</f>
        <v>133.10805901431871</v>
      </c>
      <c r="J29" s="2">
        <f>ABS((df_test[[#This Row],[units_sold]]-I29)/df_test[[#This Row],[units_sold]])</f>
        <v>0.14748326736481648</v>
      </c>
    </row>
    <row r="30" spans="1:10" x14ac:dyDescent="0.3">
      <c r="A30">
        <v>2025</v>
      </c>
      <c r="B30">
        <v>29</v>
      </c>
      <c r="C30">
        <v>115</v>
      </c>
      <c r="D30">
        <v>179.85714285714201</v>
      </c>
      <c r="E30">
        <v>1</v>
      </c>
      <c r="F30">
        <v>91</v>
      </c>
      <c r="G30">
        <v>38</v>
      </c>
      <c r="I30">
        <f>$M$2+$M$3*df_test[[#This Row],[stock_available]]+$M$4*df_test[[#This Row],[promotion_binary]]+$M$5*df_test[[#This Row],[rolling_mean_4]]+$M$6*df_test[[#This Row],[momentum]]</f>
        <v>136.37136653596906</v>
      </c>
      <c r="J30" s="2">
        <f>ABS((df_test[[#This Row],[units_sold]]-I30)/df_test[[#This Row],[units_sold]])</f>
        <v>0.18583796987799181</v>
      </c>
    </row>
    <row r="31" spans="1:10" x14ac:dyDescent="0.3">
      <c r="A31">
        <v>2025</v>
      </c>
      <c r="B31">
        <v>30</v>
      </c>
      <c r="C31">
        <v>133</v>
      </c>
      <c r="D31">
        <v>184.142857142857</v>
      </c>
      <c r="E31">
        <v>1</v>
      </c>
      <c r="F31">
        <v>89.5</v>
      </c>
      <c r="G31">
        <v>-1</v>
      </c>
      <c r="I31">
        <f>$M$2+$M$3*df_test[[#This Row],[stock_available]]+$M$4*df_test[[#This Row],[promotion_binary]]+$M$5*df_test[[#This Row],[rolling_mean_4]]+$M$6*df_test[[#This Row],[momentum]]</f>
        <v>130.295601731234</v>
      </c>
      <c r="J31" s="2">
        <f>ABS((df_test[[#This Row],[units_sold]]-I31)/df_test[[#This Row],[units_sold]])</f>
        <v>2.0333821569669164E-2</v>
      </c>
    </row>
    <row r="32" spans="1:10" x14ac:dyDescent="0.3">
      <c r="A32">
        <v>2025</v>
      </c>
      <c r="B32">
        <v>31</v>
      </c>
      <c r="C32">
        <v>86</v>
      </c>
      <c r="D32">
        <v>164.6</v>
      </c>
      <c r="E32">
        <v>1</v>
      </c>
      <c r="F32">
        <v>110.5</v>
      </c>
      <c r="G32">
        <v>18</v>
      </c>
      <c r="I32">
        <f>$M$2+$M$3*df_test[[#This Row],[stock_available]]+$M$4*df_test[[#This Row],[promotion_binary]]+$M$5*df_test[[#This Row],[rolling_mean_4]]+$M$6*df_test[[#This Row],[momentum]]</f>
        <v>135.16829117039165</v>
      </c>
      <c r="J32" s="2">
        <f>ABS((df_test[[#This Row],[units_sold]]-I32)/df_test[[#This Row],[units_sold]])</f>
        <v>0.57172431593478668</v>
      </c>
    </row>
    <row r="33" spans="1:10" x14ac:dyDescent="0.3">
      <c r="A33">
        <v>2025</v>
      </c>
      <c r="B33">
        <v>32</v>
      </c>
      <c r="C33">
        <v>101</v>
      </c>
      <c r="D33">
        <v>156.28571428571399</v>
      </c>
      <c r="E33">
        <v>0</v>
      </c>
      <c r="F33">
        <v>112.5</v>
      </c>
      <c r="G33">
        <v>-47</v>
      </c>
      <c r="I33">
        <f>$M$2+$M$3*df_test[[#This Row],[stock_available]]+$M$4*df_test[[#This Row],[promotion_binary]]+$M$5*df_test[[#This Row],[rolling_mean_4]]+$M$6*df_test[[#This Row],[momentum]]</f>
        <v>89.405633278082163</v>
      </c>
      <c r="J33" s="2">
        <f>ABS((df_test[[#This Row],[units_sold]]-I33)/df_test[[#This Row],[units_sold]])</f>
        <v>0.11479571011799838</v>
      </c>
    </row>
    <row r="34" spans="1:10" x14ac:dyDescent="0.3">
      <c r="A34">
        <v>2025</v>
      </c>
      <c r="B34">
        <v>33</v>
      </c>
      <c r="C34">
        <v>113</v>
      </c>
      <c r="D34">
        <v>172.333333333333</v>
      </c>
      <c r="E34">
        <v>1</v>
      </c>
      <c r="F34">
        <v>108.75</v>
      </c>
      <c r="G34">
        <v>15</v>
      </c>
      <c r="I34">
        <f>$M$2+$M$3*df_test[[#This Row],[stock_available]]+$M$4*df_test[[#This Row],[promotion_binary]]+$M$5*df_test[[#This Row],[rolling_mean_4]]+$M$6*df_test[[#This Row],[momentum]]</f>
        <v>138.25263278022859</v>
      </c>
      <c r="J34" s="2">
        <f>ABS((df_test[[#This Row],[units_sold]]-I34)/df_test[[#This Row],[units_sold]])</f>
        <v>0.22347462637370438</v>
      </c>
    </row>
    <row r="35" spans="1:10" x14ac:dyDescent="0.3">
      <c r="A35">
        <v>2025</v>
      </c>
      <c r="B35">
        <v>34</v>
      </c>
      <c r="C35">
        <v>92</v>
      </c>
      <c r="D35">
        <v>135.85714285714201</v>
      </c>
      <c r="E35">
        <v>1</v>
      </c>
      <c r="F35">
        <v>108.25</v>
      </c>
      <c r="G35">
        <v>12</v>
      </c>
      <c r="I35">
        <f>$M$2+$M$3*df_test[[#This Row],[stock_available]]+$M$4*df_test[[#This Row],[promotion_binary]]+$M$5*df_test[[#This Row],[rolling_mean_4]]+$M$6*df_test[[#This Row],[momentum]]</f>
        <v>114.79561896763661</v>
      </c>
      <c r="J35" s="2">
        <f>ABS((df_test[[#This Row],[units_sold]]-I35)/df_test[[#This Row],[units_sold]])</f>
        <v>0.24777846703952841</v>
      </c>
    </row>
    <row r="36" spans="1:10" x14ac:dyDescent="0.3">
      <c r="A36">
        <v>2025</v>
      </c>
      <c r="B36">
        <v>35</v>
      </c>
      <c r="C36">
        <v>68</v>
      </c>
      <c r="D36">
        <v>142</v>
      </c>
      <c r="E36">
        <v>0</v>
      </c>
      <c r="F36">
        <v>98</v>
      </c>
      <c r="G36">
        <v>-21</v>
      </c>
      <c r="I36">
        <f>$M$2+$M$3*df_test[[#This Row],[stock_available]]+$M$4*df_test[[#This Row],[promotion_binary]]+$M$5*df_test[[#This Row],[rolling_mean_4]]+$M$6*df_test[[#This Row],[momentum]]</f>
        <v>76.679868093366991</v>
      </c>
      <c r="J36" s="2">
        <f>ABS((df_test[[#This Row],[units_sold]]-I36)/df_test[[#This Row],[units_sold]])</f>
        <v>0.12764511902010281</v>
      </c>
    </row>
    <row r="37" spans="1:10" x14ac:dyDescent="0.3">
      <c r="A37">
        <v>2025</v>
      </c>
      <c r="B37">
        <v>36</v>
      </c>
      <c r="C37">
        <v>69</v>
      </c>
      <c r="D37">
        <v>195.25</v>
      </c>
      <c r="E37">
        <v>0</v>
      </c>
      <c r="F37">
        <v>93.5</v>
      </c>
      <c r="G37">
        <v>-24</v>
      </c>
      <c r="I37">
        <f>$M$2+$M$3*df_test[[#This Row],[stock_available]]+$M$4*df_test[[#This Row],[promotion_binary]]+$M$5*df_test[[#This Row],[rolling_mean_4]]+$M$6*df_test[[#This Row],[momentum]]</f>
        <v>106.17354285549975</v>
      </c>
      <c r="J37" s="2">
        <f>ABS((df_test[[#This Row],[units_sold]]-I37)/df_test[[#This Row],[units_sold]])</f>
        <v>0.53874699790579339</v>
      </c>
    </row>
    <row r="38" spans="1:10" x14ac:dyDescent="0.3">
      <c r="A38">
        <v>2025</v>
      </c>
      <c r="B38">
        <v>37</v>
      </c>
      <c r="C38">
        <v>98</v>
      </c>
      <c r="D38">
        <v>129.166666666666</v>
      </c>
      <c r="E38">
        <v>1</v>
      </c>
      <c r="F38">
        <v>85.5</v>
      </c>
      <c r="G38">
        <v>1</v>
      </c>
      <c r="I38">
        <f>$M$2+$M$3*df_test[[#This Row],[stock_available]]+$M$4*df_test[[#This Row],[promotion_binary]]+$M$5*df_test[[#This Row],[rolling_mean_4]]+$M$6*df_test[[#This Row],[momentum]]</f>
        <v>94.209143194431334</v>
      </c>
      <c r="J38" s="2">
        <f>ABS((df_test[[#This Row],[units_sold]]-I38)/df_test[[#This Row],[units_sold]])</f>
        <v>3.8682212301721079E-2</v>
      </c>
    </row>
    <row r="39" spans="1:10" x14ac:dyDescent="0.3">
      <c r="A39">
        <v>2025</v>
      </c>
      <c r="B39">
        <v>38</v>
      </c>
      <c r="C39">
        <v>134</v>
      </c>
      <c r="D39">
        <v>158.142857142857</v>
      </c>
      <c r="E39">
        <v>1</v>
      </c>
      <c r="F39">
        <v>81.75</v>
      </c>
      <c r="G39">
        <v>29</v>
      </c>
      <c r="I39">
        <f>$M$2+$M$3*df_test[[#This Row],[stock_available]]+$M$4*df_test[[#This Row],[promotion_binary]]+$M$5*df_test[[#This Row],[rolling_mean_4]]+$M$6*df_test[[#This Row],[momentum]]</f>
        <v>115.35768962826521</v>
      </c>
      <c r="J39" s="2">
        <f>ABS((df_test[[#This Row],[units_sold]]-I39)/df_test[[#This Row],[units_sold]])</f>
        <v>0.13912171919205071</v>
      </c>
    </row>
    <row r="40" spans="1:10" x14ac:dyDescent="0.3">
      <c r="A40">
        <v>2025</v>
      </c>
      <c r="B40">
        <v>39</v>
      </c>
      <c r="C40">
        <v>115</v>
      </c>
      <c r="D40">
        <v>163.333333333333</v>
      </c>
      <c r="E40">
        <v>1</v>
      </c>
      <c r="F40">
        <v>92.25</v>
      </c>
      <c r="G40">
        <v>36</v>
      </c>
      <c r="I40">
        <f>$M$2+$M$3*df_test[[#This Row],[stock_available]]+$M$4*df_test[[#This Row],[promotion_binary]]+$M$5*df_test[[#This Row],[rolling_mean_4]]+$M$6*df_test[[#This Row],[momentum]]</f>
        <v>126.54253565595171</v>
      </c>
      <c r="J40" s="2">
        <f>ABS((df_test[[#This Row],[units_sold]]-I40)/df_test[[#This Row],[units_sold]])</f>
        <v>0.1003698752691453</v>
      </c>
    </row>
    <row r="41" spans="1:10" x14ac:dyDescent="0.3">
      <c r="A41">
        <v>2025</v>
      </c>
      <c r="B41">
        <v>40</v>
      </c>
      <c r="C41">
        <v>104</v>
      </c>
      <c r="D41">
        <v>146.333333333333</v>
      </c>
      <c r="E41">
        <v>1</v>
      </c>
      <c r="F41">
        <v>104</v>
      </c>
      <c r="G41">
        <v>-19</v>
      </c>
      <c r="I41">
        <f>$M$2+$M$3*df_test[[#This Row],[stock_available]]+$M$4*df_test[[#This Row],[promotion_binary]]+$M$5*df_test[[#This Row],[rolling_mean_4]]+$M$6*df_test[[#This Row],[momentum]]</f>
        <v>112.41966850870043</v>
      </c>
      <c r="J41" s="2">
        <f>ABS((df_test[[#This Row],[units_sold]]-I41)/df_test[[#This Row],[units_sold]])</f>
        <v>8.09583510451964E-2</v>
      </c>
    </row>
    <row r="42" spans="1:10" x14ac:dyDescent="0.3">
      <c r="A42">
        <v>2025</v>
      </c>
      <c r="B42">
        <v>41</v>
      </c>
      <c r="C42">
        <v>137</v>
      </c>
      <c r="D42">
        <v>158.666666666666</v>
      </c>
      <c r="E42">
        <v>1</v>
      </c>
      <c r="F42">
        <v>112.75</v>
      </c>
      <c r="G42">
        <v>-11</v>
      </c>
      <c r="I42">
        <f>$M$2+$M$3*df_test[[#This Row],[stock_available]]+$M$4*df_test[[#This Row],[promotion_binary]]+$M$5*df_test[[#This Row],[rolling_mean_4]]+$M$6*df_test[[#This Row],[momentum]]</f>
        <v>127.12233181510418</v>
      </c>
      <c r="J42" s="2">
        <f>ABS((df_test[[#This Row],[units_sold]]-I42)/df_test[[#This Row],[units_sold]])</f>
        <v>7.2099767772962231E-2</v>
      </c>
    </row>
    <row r="43" spans="1:10" x14ac:dyDescent="0.3">
      <c r="A43">
        <v>2025</v>
      </c>
      <c r="B43">
        <v>42</v>
      </c>
      <c r="C43">
        <v>89</v>
      </c>
      <c r="D43">
        <v>153.6</v>
      </c>
      <c r="E43">
        <v>1</v>
      </c>
      <c r="F43">
        <v>122.5</v>
      </c>
      <c r="G43">
        <v>33</v>
      </c>
      <c r="I43">
        <f>$M$2+$M$3*df_test[[#This Row],[stock_available]]+$M$4*df_test[[#This Row],[promotion_binary]]+$M$5*df_test[[#This Row],[rolling_mean_4]]+$M$6*df_test[[#This Row],[momentum]]</f>
        <v>138.88306482381097</v>
      </c>
      <c r="J43" s="2">
        <f>ABS((df_test[[#This Row],[units_sold]]-I43)/df_test[[#This Row],[units_sold]])</f>
        <v>0.56048387442484238</v>
      </c>
    </row>
    <row r="44" spans="1:10" x14ac:dyDescent="0.3">
      <c r="A44">
        <v>2025</v>
      </c>
      <c r="B44">
        <v>43</v>
      </c>
      <c r="C44">
        <v>114</v>
      </c>
      <c r="D44">
        <v>154.166666666666</v>
      </c>
      <c r="E44">
        <v>1</v>
      </c>
      <c r="F44">
        <v>111.25</v>
      </c>
      <c r="G44">
        <v>-48</v>
      </c>
      <c r="I44">
        <f>$M$2+$M$3*df_test[[#This Row],[stock_available]]+$M$4*df_test[[#This Row],[promotion_binary]]+$M$5*df_test[[#This Row],[rolling_mean_4]]+$M$6*df_test[[#This Row],[momentum]]</f>
        <v>116.01558669148372</v>
      </c>
      <c r="J44" s="2">
        <f>ABS((df_test[[#This Row],[units_sold]]-I44)/df_test[[#This Row],[units_sold]])</f>
        <v>1.7680585013015081E-2</v>
      </c>
    </row>
    <row r="45" spans="1:10" x14ac:dyDescent="0.3">
      <c r="A45">
        <v>2025</v>
      </c>
      <c r="B45">
        <v>44</v>
      </c>
      <c r="C45">
        <v>154</v>
      </c>
      <c r="D45">
        <v>188.57142857142799</v>
      </c>
      <c r="E45">
        <v>1</v>
      </c>
      <c r="F45">
        <v>111</v>
      </c>
      <c r="G45">
        <v>25</v>
      </c>
      <c r="I45">
        <f>$M$2+$M$3*df_test[[#This Row],[stock_available]]+$M$4*df_test[[#This Row],[promotion_binary]]+$M$5*df_test[[#This Row],[rolling_mean_4]]+$M$6*df_test[[#This Row],[momentum]]</f>
        <v>151.69490470143174</v>
      </c>
      <c r="J45" s="2">
        <f>ABS((df_test[[#This Row],[units_sold]]-I45)/df_test[[#This Row],[units_sold]])</f>
        <v>1.4968151289404295E-2</v>
      </c>
    </row>
    <row r="46" spans="1:10" x14ac:dyDescent="0.3">
      <c r="A46">
        <v>2025</v>
      </c>
      <c r="B46">
        <v>45</v>
      </c>
      <c r="C46">
        <v>116</v>
      </c>
      <c r="D46">
        <v>166.5</v>
      </c>
      <c r="E46">
        <v>0</v>
      </c>
      <c r="F46">
        <v>123.5</v>
      </c>
      <c r="G46">
        <v>40</v>
      </c>
      <c r="I46">
        <f>$M$2+$M$3*df_test[[#This Row],[stock_available]]+$M$4*df_test[[#This Row],[promotion_binary]]+$M$5*df_test[[#This Row],[rolling_mean_4]]+$M$6*df_test[[#This Row],[momentum]]</f>
        <v>119.97749976072366</v>
      </c>
      <c r="J46" s="2">
        <f>ABS((df_test[[#This Row],[units_sold]]-I46)/df_test[[#This Row],[units_sold]])</f>
        <v>3.4288791040721203E-2</v>
      </c>
    </row>
    <row r="47" spans="1:10" x14ac:dyDescent="0.3">
      <c r="A47">
        <v>2025</v>
      </c>
      <c r="B47">
        <v>46</v>
      </c>
      <c r="C47">
        <v>126</v>
      </c>
      <c r="D47">
        <v>178.5</v>
      </c>
      <c r="E47">
        <v>0</v>
      </c>
      <c r="F47">
        <v>118.25</v>
      </c>
      <c r="G47">
        <v>-38</v>
      </c>
      <c r="I47">
        <f>$M$2+$M$3*df_test[[#This Row],[stock_available]]+$M$4*df_test[[#This Row],[promotion_binary]]+$M$5*df_test[[#This Row],[rolling_mean_4]]+$M$6*df_test[[#This Row],[momentum]]</f>
        <v>108.53517685865101</v>
      </c>
      <c r="J47" s="2">
        <f>ABS((df_test[[#This Row],[units_sold]]-I47)/df_test[[#This Row],[units_sold]])</f>
        <v>0.13860970747102369</v>
      </c>
    </row>
    <row r="48" spans="1:10" x14ac:dyDescent="0.3">
      <c r="A48">
        <v>2025</v>
      </c>
      <c r="B48">
        <v>47</v>
      </c>
      <c r="C48">
        <v>113</v>
      </c>
      <c r="D48">
        <v>154.85714285714201</v>
      </c>
      <c r="E48">
        <v>0</v>
      </c>
      <c r="F48">
        <v>127.5</v>
      </c>
      <c r="G48">
        <v>10</v>
      </c>
      <c r="I48">
        <f>$M$2+$M$3*df_test[[#This Row],[stock_available]]+$M$4*df_test[[#This Row],[promotion_binary]]+$M$5*df_test[[#This Row],[rolling_mean_4]]+$M$6*df_test[[#This Row],[momentum]]</f>
        <v>109.29962506959635</v>
      </c>
      <c r="J48" s="2">
        <f>ABS((df_test[[#This Row],[units_sold]]-I48)/df_test[[#This Row],[units_sold]])</f>
        <v>3.2746680800032339E-2</v>
      </c>
    </row>
    <row r="49" spans="1:10" x14ac:dyDescent="0.3">
      <c r="A49">
        <v>2025</v>
      </c>
      <c r="B49">
        <v>48</v>
      </c>
      <c r="C49">
        <v>101</v>
      </c>
      <c r="D49">
        <v>147</v>
      </c>
      <c r="E49">
        <v>0</v>
      </c>
      <c r="F49">
        <v>127.25</v>
      </c>
      <c r="G49">
        <v>-13</v>
      </c>
      <c r="I49">
        <f>$M$2+$M$3*df_test[[#This Row],[stock_available]]+$M$4*df_test[[#This Row],[promotion_binary]]+$M$5*df_test[[#This Row],[rolling_mean_4]]+$M$6*df_test[[#This Row],[momentum]]</f>
        <v>99.695713321957982</v>
      </c>
      <c r="J49" s="2">
        <f>ABS((df_test[[#This Row],[units_sold]]-I49)/df_test[[#This Row],[units_sold]])</f>
        <v>1.2913729485564539E-2</v>
      </c>
    </row>
    <row r="50" spans="1:10" x14ac:dyDescent="0.3">
      <c r="A50">
        <v>2025</v>
      </c>
      <c r="B50">
        <v>49</v>
      </c>
      <c r="C50">
        <v>130</v>
      </c>
      <c r="D50">
        <v>145.666666666666</v>
      </c>
      <c r="E50">
        <v>1</v>
      </c>
      <c r="F50">
        <v>114</v>
      </c>
      <c r="G50">
        <v>-12</v>
      </c>
      <c r="I50">
        <f>$M$2+$M$3*df_test[[#This Row],[stock_available]]+$M$4*df_test[[#This Row],[promotion_binary]]+$M$5*df_test[[#This Row],[rolling_mean_4]]+$M$6*df_test[[#This Row],[momentum]]</f>
        <v>119.67107383223568</v>
      </c>
      <c r="J50" s="2">
        <f>ABS((df_test[[#This Row],[units_sold]]-I50)/df_test[[#This Row],[units_sold]])</f>
        <v>7.9453278213571718E-2</v>
      </c>
    </row>
    <row r="51" spans="1:10" x14ac:dyDescent="0.3">
      <c r="A51">
        <v>2025</v>
      </c>
      <c r="B51">
        <v>50</v>
      </c>
      <c r="C51">
        <v>114</v>
      </c>
      <c r="D51">
        <v>146.666666666666</v>
      </c>
      <c r="E51">
        <v>0</v>
      </c>
      <c r="F51">
        <v>117.5</v>
      </c>
      <c r="G51">
        <v>29</v>
      </c>
      <c r="I51">
        <f>$M$2+$M$3*df_test[[#This Row],[stock_available]]+$M$4*df_test[[#This Row],[promotion_binary]]+$M$5*df_test[[#This Row],[rolling_mean_4]]+$M$6*df_test[[#This Row],[momentum]]</f>
        <v>101.76368319579888</v>
      </c>
      <c r="J51" s="2">
        <f>ABS((df_test[[#This Row],[units_sold]]-I51)/df_test[[#This Row],[units_sold]])</f>
        <v>0.10733611231755372</v>
      </c>
    </row>
    <row r="52" spans="1:10" x14ac:dyDescent="0.3">
      <c r="A52">
        <v>2025</v>
      </c>
      <c r="B52">
        <v>51</v>
      </c>
      <c r="C52">
        <v>165</v>
      </c>
      <c r="D52">
        <v>145.28571428571399</v>
      </c>
      <c r="E52">
        <v>1</v>
      </c>
      <c r="F52">
        <v>114.5</v>
      </c>
      <c r="G52">
        <v>-16</v>
      </c>
      <c r="I52">
        <f>$M$2+$M$3*df_test[[#This Row],[stock_available]]+$M$4*df_test[[#This Row],[promotion_binary]]+$M$5*df_test[[#This Row],[rolling_mean_4]]+$M$6*df_test[[#This Row],[momentum]]</f>
        <v>118.95049605658811</v>
      </c>
      <c r="J52" s="2">
        <f>ABS((df_test[[#This Row],[units_sold]]-I52)/df_test[[#This Row],[units_sold]])</f>
        <v>0.27908790268734479</v>
      </c>
    </row>
    <row r="53" spans="1:10" x14ac:dyDescent="0.3">
      <c r="A53">
        <v>2025</v>
      </c>
      <c r="B53">
        <v>52</v>
      </c>
      <c r="C53">
        <v>105</v>
      </c>
      <c r="D53">
        <v>133.142857142857</v>
      </c>
      <c r="E53">
        <v>0</v>
      </c>
      <c r="F53">
        <v>127.5</v>
      </c>
      <c r="G53">
        <v>51</v>
      </c>
      <c r="I53">
        <f>$M$2+$M$3*df_test[[#This Row],[stock_available]]+$M$4*df_test[[#This Row],[promotion_binary]]+$M$5*df_test[[#This Row],[rolling_mean_4]]+$M$6*df_test[[#This Row],[momentum]]</f>
        <v>104.06257961208217</v>
      </c>
      <c r="J53" s="2">
        <f>ABS((df_test[[#This Row],[units_sold]]-I53)/df_test[[#This Row],[units_sold]])</f>
        <v>8.927813218265003E-3</v>
      </c>
    </row>
    <row r="54" spans="1:10" x14ac:dyDescent="0.3">
      <c r="J54" s="3">
        <f>AVERAGE(J2:J53)</f>
        <v>0.17021445702469434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E0002-81F1-4542-AA9E-62B81526BACF}">
  <dimension ref="A1:R57"/>
  <sheetViews>
    <sheetView topLeftCell="H1" workbookViewId="0">
      <selection activeCell="J2" sqref="J2:R22"/>
    </sheetView>
  </sheetViews>
  <sheetFormatPr defaultRowHeight="14.4" x14ac:dyDescent="0.3"/>
  <cols>
    <col min="1" max="1" width="6.77734375" bestFit="1" customWidth="1"/>
    <col min="2" max="2" width="14.77734375" bestFit="1" customWidth="1"/>
    <col min="3" max="3" width="11.6640625" bestFit="1" customWidth="1"/>
    <col min="4" max="4" width="16.33203125" bestFit="1" customWidth="1"/>
    <col min="5" max="5" width="18" bestFit="1" customWidth="1"/>
    <col min="6" max="6" width="15.77734375" bestFit="1" customWidth="1"/>
    <col min="7" max="8" width="12.88671875" bestFit="1" customWidth="1"/>
    <col min="10" max="10" width="15.5546875" customWidth="1"/>
    <col min="11" max="11" width="12.109375" bestFit="1" customWidth="1"/>
    <col min="12" max="12" width="13.33203125" bestFit="1" customWidth="1"/>
    <col min="13" max="14" width="12.109375" bestFit="1" customWidth="1"/>
    <col min="15" max="15" width="12.88671875" bestFit="1" customWidth="1"/>
    <col min="16" max="16" width="10.5546875" bestFit="1" customWidth="1"/>
    <col min="17" max="17" width="12.21875" bestFit="1" customWidth="1"/>
    <col min="18" max="18" width="12.109375" bestFit="1" customWidth="1"/>
  </cols>
  <sheetData>
    <row r="1" spans="1:18" x14ac:dyDescent="0.3">
      <c r="A1" t="s">
        <v>2</v>
      </c>
      <c r="B1" t="s">
        <v>4</v>
      </c>
      <c r="C1" t="s">
        <v>9</v>
      </c>
      <c r="D1" t="s">
        <v>10</v>
      </c>
      <c r="E1" t="s">
        <v>11</v>
      </c>
      <c r="F1" t="s">
        <v>15</v>
      </c>
      <c r="G1" t="s">
        <v>63</v>
      </c>
    </row>
    <row r="2" spans="1:18" x14ac:dyDescent="0.3">
      <c r="A2">
        <v>2023</v>
      </c>
      <c r="B2">
        <v>49</v>
      </c>
      <c r="C2">
        <v>74</v>
      </c>
      <c r="D2">
        <v>185.666666666666</v>
      </c>
      <c r="E2">
        <v>1</v>
      </c>
      <c r="F2">
        <v>87</v>
      </c>
      <c r="G2">
        <v>-29</v>
      </c>
      <c r="J2" s="18" t="s">
        <v>38</v>
      </c>
      <c r="K2" s="14"/>
      <c r="L2" s="14"/>
      <c r="M2" s="14"/>
      <c r="N2" s="14"/>
      <c r="O2" s="14"/>
      <c r="P2" s="14"/>
      <c r="Q2" s="14"/>
      <c r="R2" s="14"/>
    </row>
    <row r="3" spans="1:18" ht="15" thickBot="1" x14ac:dyDescent="0.35">
      <c r="A3">
        <v>2023</v>
      </c>
      <c r="B3">
        <v>50</v>
      </c>
      <c r="C3">
        <v>146</v>
      </c>
      <c r="D3">
        <v>176.5</v>
      </c>
      <c r="E3">
        <v>1</v>
      </c>
      <c r="F3">
        <v>90.25</v>
      </c>
      <c r="G3">
        <v>-12</v>
      </c>
      <c r="J3" s="14"/>
      <c r="K3" s="14"/>
      <c r="L3" s="14"/>
      <c r="M3" s="14"/>
      <c r="N3" s="14"/>
      <c r="O3" s="14"/>
      <c r="P3" s="14"/>
      <c r="Q3" s="14"/>
      <c r="R3" s="14"/>
    </row>
    <row r="4" spans="1:18" x14ac:dyDescent="0.3">
      <c r="A4">
        <v>2023</v>
      </c>
      <c r="B4">
        <v>51</v>
      </c>
      <c r="C4">
        <v>112</v>
      </c>
      <c r="D4">
        <v>165.71428571428501</v>
      </c>
      <c r="E4">
        <v>0</v>
      </c>
      <c r="F4">
        <v>105.25</v>
      </c>
      <c r="G4">
        <v>72</v>
      </c>
      <c r="J4" s="15" t="s">
        <v>39</v>
      </c>
      <c r="K4" s="15"/>
      <c r="L4" s="14"/>
      <c r="M4" s="14"/>
      <c r="N4" s="14"/>
      <c r="O4" s="14"/>
      <c r="P4" s="14"/>
      <c r="Q4" s="14"/>
      <c r="R4" s="14"/>
    </row>
    <row r="5" spans="1:18" x14ac:dyDescent="0.3">
      <c r="A5">
        <v>2023</v>
      </c>
      <c r="B5">
        <v>52</v>
      </c>
      <c r="C5">
        <v>99</v>
      </c>
      <c r="D5">
        <v>172.2</v>
      </c>
      <c r="E5">
        <v>1</v>
      </c>
      <c r="F5">
        <v>104.5</v>
      </c>
      <c r="G5">
        <v>-34</v>
      </c>
      <c r="J5" s="14" t="s">
        <v>40</v>
      </c>
      <c r="K5" s="14">
        <v>0.60829779214954249</v>
      </c>
      <c r="L5" s="14"/>
      <c r="M5" s="14"/>
      <c r="N5" s="14"/>
      <c r="O5" s="14"/>
      <c r="P5" s="14"/>
      <c r="Q5" s="14"/>
      <c r="R5" s="14"/>
    </row>
    <row r="6" spans="1:18" x14ac:dyDescent="0.3">
      <c r="A6">
        <v>2024</v>
      </c>
      <c r="B6">
        <v>1</v>
      </c>
      <c r="C6">
        <v>149</v>
      </c>
      <c r="D6">
        <v>195.166666666666</v>
      </c>
      <c r="E6">
        <v>0</v>
      </c>
      <c r="F6">
        <v>107.75</v>
      </c>
      <c r="G6">
        <v>-13</v>
      </c>
      <c r="J6" s="14" t="s">
        <v>41</v>
      </c>
      <c r="K6" s="14">
        <v>0.37002620393400804</v>
      </c>
      <c r="L6" s="14"/>
      <c r="M6" s="14"/>
      <c r="N6" s="14"/>
      <c r="O6" s="14"/>
      <c r="P6" s="14"/>
      <c r="Q6" s="14"/>
      <c r="R6" s="14"/>
    </row>
    <row r="7" spans="1:18" x14ac:dyDescent="0.3">
      <c r="A7">
        <v>2024</v>
      </c>
      <c r="B7">
        <v>2</v>
      </c>
      <c r="C7">
        <v>186</v>
      </c>
      <c r="D7">
        <v>135.166666666666</v>
      </c>
      <c r="E7">
        <v>1</v>
      </c>
      <c r="F7">
        <v>126.5</v>
      </c>
      <c r="G7">
        <v>50</v>
      </c>
      <c r="J7" s="14" t="s">
        <v>42</v>
      </c>
      <c r="K7" s="14">
        <v>0.32061649443863616</v>
      </c>
      <c r="L7" s="14"/>
      <c r="M7" s="14"/>
      <c r="N7" s="14"/>
      <c r="O7" s="14"/>
      <c r="P7" s="14"/>
      <c r="Q7" s="14"/>
      <c r="R7" s="14"/>
    </row>
    <row r="8" spans="1:18" x14ac:dyDescent="0.3">
      <c r="A8">
        <v>2024</v>
      </c>
      <c r="B8">
        <v>3</v>
      </c>
      <c r="C8">
        <v>212</v>
      </c>
      <c r="D8">
        <v>176</v>
      </c>
      <c r="E8">
        <v>1</v>
      </c>
      <c r="F8">
        <v>136.5</v>
      </c>
      <c r="G8">
        <v>37</v>
      </c>
      <c r="J8" s="14" t="s">
        <v>43</v>
      </c>
      <c r="K8" s="14">
        <v>29.813317679536581</v>
      </c>
      <c r="L8" s="14"/>
      <c r="M8" s="14"/>
      <c r="N8" s="14"/>
      <c r="O8" s="14"/>
      <c r="P8" s="14"/>
      <c r="Q8" s="14"/>
      <c r="R8" s="14"/>
    </row>
    <row r="9" spans="1:18" ht="15" thickBot="1" x14ac:dyDescent="0.35">
      <c r="A9">
        <v>2024</v>
      </c>
      <c r="B9">
        <v>4</v>
      </c>
      <c r="C9">
        <v>184</v>
      </c>
      <c r="D9">
        <v>174.333333333333</v>
      </c>
      <c r="E9">
        <v>1</v>
      </c>
      <c r="F9">
        <v>161.5</v>
      </c>
      <c r="G9">
        <v>26</v>
      </c>
      <c r="J9" s="16" t="s">
        <v>44</v>
      </c>
      <c r="K9" s="16">
        <v>56</v>
      </c>
      <c r="L9" s="14"/>
      <c r="M9" s="14"/>
      <c r="N9" s="14"/>
      <c r="O9" s="14"/>
      <c r="P9" s="14"/>
      <c r="Q9" s="14"/>
      <c r="R9" s="14"/>
    </row>
    <row r="10" spans="1:18" x14ac:dyDescent="0.3">
      <c r="A10">
        <v>2024</v>
      </c>
      <c r="B10">
        <v>5</v>
      </c>
      <c r="C10">
        <v>116</v>
      </c>
      <c r="D10">
        <v>142.6</v>
      </c>
      <c r="E10">
        <v>1</v>
      </c>
      <c r="F10">
        <v>182.75</v>
      </c>
      <c r="G10">
        <v>-28</v>
      </c>
      <c r="J10" s="14"/>
      <c r="K10" s="14"/>
      <c r="L10" s="14"/>
      <c r="M10" s="14"/>
      <c r="N10" s="14"/>
      <c r="O10" s="14"/>
      <c r="P10" s="14"/>
      <c r="Q10" s="14"/>
      <c r="R10" s="14"/>
    </row>
    <row r="11" spans="1:18" ht="15" thickBot="1" x14ac:dyDescent="0.35">
      <c r="A11">
        <v>2024</v>
      </c>
      <c r="B11">
        <v>6</v>
      </c>
      <c r="C11">
        <v>123</v>
      </c>
      <c r="D11">
        <v>178.4</v>
      </c>
      <c r="E11">
        <v>0</v>
      </c>
      <c r="F11">
        <v>174.5</v>
      </c>
      <c r="G11">
        <v>-68</v>
      </c>
      <c r="J11" s="14" t="s">
        <v>45</v>
      </c>
      <c r="K11" s="14"/>
      <c r="L11" s="14"/>
      <c r="M11" s="14"/>
      <c r="N11" s="14"/>
      <c r="O11" s="14"/>
      <c r="P11" s="14"/>
      <c r="Q11" s="14"/>
      <c r="R11" s="14"/>
    </row>
    <row r="12" spans="1:18" x14ac:dyDescent="0.3">
      <c r="A12">
        <v>2024</v>
      </c>
      <c r="B12">
        <v>7</v>
      </c>
      <c r="C12">
        <v>71</v>
      </c>
      <c r="D12">
        <v>114.5</v>
      </c>
      <c r="E12">
        <v>0</v>
      </c>
      <c r="F12">
        <v>158.75</v>
      </c>
      <c r="G12">
        <v>7</v>
      </c>
      <c r="J12" s="17"/>
      <c r="K12" s="17" t="s">
        <v>50</v>
      </c>
      <c r="L12" s="17" t="s">
        <v>51</v>
      </c>
      <c r="M12" s="17" t="s">
        <v>52</v>
      </c>
      <c r="N12" s="17" t="s">
        <v>53</v>
      </c>
      <c r="O12" s="17" t="s">
        <v>54</v>
      </c>
      <c r="P12" s="14"/>
      <c r="Q12" s="14"/>
      <c r="R12" s="14"/>
    </row>
    <row r="13" spans="1:18" x14ac:dyDescent="0.3">
      <c r="A13">
        <v>2024</v>
      </c>
      <c r="B13">
        <v>8</v>
      </c>
      <c r="C13">
        <v>151</v>
      </c>
      <c r="D13">
        <v>146.166666666666</v>
      </c>
      <c r="E13">
        <v>1</v>
      </c>
      <c r="F13">
        <v>123.5</v>
      </c>
      <c r="G13">
        <v>-52</v>
      </c>
      <c r="J13" s="14" t="s">
        <v>46</v>
      </c>
      <c r="K13" s="14">
        <v>4</v>
      </c>
      <c r="L13" s="14">
        <v>26625.684821604897</v>
      </c>
      <c r="M13" s="14">
        <v>6656.4212054012241</v>
      </c>
      <c r="N13" s="14">
        <v>7.4889370472552041</v>
      </c>
      <c r="O13" s="14">
        <v>7.9660611474475254E-5</v>
      </c>
      <c r="P13" s="14"/>
      <c r="Q13" s="14"/>
      <c r="R13" s="14"/>
    </row>
    <row r="14" spans="1:18" x14ac:dyDescent="0.3">
      <c r="A14">
        <v>2024</v>
      </c>
      <c r="B14">
        <v>9</v>
      </c>
      <c r="C14">
        <v>180</v>
      </c>
      <c r="D14">
        <v>166</v>
      </c>
      <c r="E14">
        <v>0</v>
      </c>
      <c r="F14">
        <v>115.25</v>
      </c>
      <c r="G14">
        <v>80</v>
      </c>
      <c r="J14" s="14" t="s">
        <v>47</v>
      </c>
      <c r="K14" s="14">
        <v>51</v>
      </c>
      <c r="L14" s="14">
        <v>45330.529464109393</v>
      </c>
      <c r="M14" s="14">
        <v>888.83391106096849</v>
      </c>
      <c r="N14" s="14"/>
      <c r="O14" s="14"/>
      <c r="P14" s="14"/>
      <c r="Q14" s="14"/>
      <c r="R14" s="14"/>
    </row>
    <row r="15" spans="1:18" ht="15" thickBot="1" x14ac:dyDescent="0.35">
      <c r="A15">
        <v>2024</v>
      </c>
      <c r="B15">
        <v>10</v>
      </c>
      <c r="C15">
        <v>139</v>
      </c>
      <c r="D15">
        <v>156.5</v>
      </c>
      <c r="E15">
        <v>0</v>
      </c>
      <c r="F15">
        <v>131.25</v>
      </c>
      <c r="G15">
        <v>29</v>
      </c>
      <c r="J15" s="16" t="s">
        <v>48</v>
      </c>
      <c r="K15" s="16">
        <v>55</v>
      </c>
      <c r="L15" s="16">
        <v>71956.21428571429</v>
      </c>
      <c r="M15" s="16"/>
      <c r="N15" s="16"/>
      <c r="O15" s="16"/>
      <c r="P15" s="14"/>
      <c r="Q15" s="14"/>
      <c r="R15" s="14"/>
    </row>
    <row r="16" spans="1:18" ht="15" thickBot="1" x14ac:dyDescent="0.35">
      <c r="A16">
        <v>2024</v>
      </c>
      <c r="B16">
        <v>11</v>
      </c>
      <c r="C16">
        <v>147</v>
      </c>
      <c r="D16">
        <v>166.2</v>
      </c>
      <c r="E16">
        <v>1</v>
      </c>
      <c r="F16">
        <v>135.25</v>
      </c>
      <c r="G16">
        <v>-41</v>
      </c>
      <c r="J16" s="14"/>
      <c r="K16" s="14"/>
      <c r="L16" s="14"/>
      <c r="M16" s="14"/>
      <c r="N16" s="14"/>
      <c r="O16" s="14"/>
      <c r="P16" s="14"/>
      <c r="Q16" s="14"/>
      <c r="R16" s="14"/>
    </row>
    <row r="17" spans="1:18" x14ac:dyDescent="0.3">
      <c r="A17">
        <v>2024</v>
      </c>
      <c r="B17">
        <v>12</v>
      </c>
      <c r="C17">
        <v>170</v>
      </c>
      <c r="D17">
        <v>133.85714285714201</v>
      </c>
      <c r="E17">
        <v>1</v>
      </c>
      <c r="F17">
        <v>154.25</v>
      </c>
      <c r="G17">
        <v>8</v>
      </c>
      <c r="J17" s="17"/>
      <c r="K17" s="17" t="s">
        <v>55</v>
      </c>
      <c r="L17" s="17" t="s">
        <v>43</v>
      </c>
      <c r="M17" s="17" t="s">
        <v>56</v>
      </c>
      <c r="N17" s="17" t="s">
        <v>57</v>
      </c>
      <c r="O17" s="17" t="s">
        <v>58</v>
      </c>
      <c r="P17" s="17" t="s">
        <v>59</v>
      </c>
      <c r="Q17" s="17" t="s">
        <v>60</v>
      </c>
      <c r="R17" s="17" t="s">
        <v>61</v>
      </c>
    </row>
    <row r="18" spans="1:18" x14ac:dyDescent="0.3">
      <c r="A18">
        <v>2024</v>
      </c>
      <c r="B18">
        <v>13</v>
      </c>
      <c r="C18">
        <v>189</v>
      </c>
      <c r="D18">
        <v>161.42857142857099</v>
      </c>
      <c r="E18">
        <v>1</v>
      </c>
      <c r="F18">
        <v>159</v>
      </c>
      <c r="G18">
        <v>23</v>
      </c>
      <c r="J18" s="14" t="s">
        <v>49</v>
      </c>
      <c r="K18" s="22">
        <v>-68.303192502013317</v>
      </c>
      <c r="L18" s="22">
        <v>44.631395313278162</v>
      </c>
      <c r="M18" s="22">
        <v>-1.5303844305690488</v>
      </c>
      <c r="N18" s="22">
        <v>0.13210129194163509</v>
      </c>
      <c r="O18" s="22">
        <v>-157.9044573795008</v>
      </c>
      <c r="P18" s="22">
        <v>21.298072375474149</v>
      </c>
      <c r="Q18" s="22">
        <v>-157.9044573795008</v>
      </c>
      <c r="R18" s="22">
        <v>21.298072375474149</v>
      </c>
    </row>
    <row r="19" spans="1:18" x14ac:dyDescent="0.3">
      <c r="A19">
        <v>2024</v>
      </c>
      <c r="B19">
        <v>14</v>
      </c>
      <c r="C19">
        <v>174</v>
      </c>
      <c r="D19">
        <v>161.57142857142799</v>
      </c>
      <c r="E19">
        <v>0</v>
      </c>
      <c r="F19">
        <v>161.25</v>
      </c>
      <c r="G19">
        <v>19</v>
      </c>
      <c r="J19" s="14" t="s">
        <v>10</v>
      </c>
      <c r="K19" s="22">
        <v>0.61807112293789201</v>
      </c>
      <c r="L19" s="22">
        <v>0.20507413005230757</v>
      </c>
      <c r="M19" s="22">
        <v>3.0138912342587663</v>
      </c>
      <c r="N19" s="22">
        <v>4.0106330270670938E-3</v>
      </c>
      <c r="O19" s="22">
        <v>0.20636762773324052</v>
      </c>
      <c r="P19" s="22">
        <v>1.0297746181425436</v>
      </c>
      <c r="Q19" s="22">
        <v>0.20636762773324052</v>
      </c>
      <c r="R19" s="22">
        <v>1.0297746181425436</v>
      </c>
    </row>
    <row r="20" spans="1:18" x14ac:dyDescent="0.3">
      <c r="A20">
        <v>2024</v>
      </c>
      <c r="B20">
        <v>15</v>
      </c>
      <c r="C20">
        <v>140</v>
      </c>
      <c r="D20">
        <v>143.333333333333</v>
      </c>
      <c r="E20">
        <v>0</v>
      </c>
      <c r="F20">
        <v>170</v>
      </c>
      <c r="G20">
        <v>-15</v>
      </c>
      <c r="J20" s="14" t="s">
        <v>11</v>
      </c>
      <c r="K20" s="22">
        <v>28.902558145687454</v>
      </c>
      <c r="L20" s="22">
        <v>8.060589702797083</v>
      </c>
      <c r="M20" s="22">
        <v>3.5856629863765499</v>
      </c>
      <c r="N20" s="22">
        <v>7.5201253742419373E-4</v>
      </c>
      <c r="O20" s="22">
        <v>12.720249079177091</v>
      </c>
      <c r="P20" s="22">
        <v>45.084867212197821</v>
      </c>
      <c r="Q20" s="22">
        <v>12.720249079177091</v>
      </c>
      <c r="R20" s="22">
        <v>45.084867212197821</v>
      </c>
    </row>
    <row r="21" spans="1:18" x14ac:dyDescent="0.3">
      <c r="A21">
        <v>2024</v>
      </c>
      <c r="B21">
        <v>16</v>
      </c>
      <c r="C21">
        <v>140</v>
      </c>
      <c r="D21">
        <v>143.666666666666</v>
      </c>
      <c r="E21">
        <v>1</v>
      </c>
      <c r="F21">
        <v>168.25</v>
      </c>
      <c r="G21">
        <v>-34</v>
      </c>
      <c r="J21" s="14" t="s">
        <v>15</v>
      </c>
      <c r="K21" s="22">
        <v>0.62661968245845123</v>
      </c>
      <c r="L21" s="22">
        <v>0.17311728138402374</v>
      </c>
      <c r="M21" s="22">
        <v>3.6196252473976251</v>
      </c>
      <c r="N21" s="22">
        <v>6.7774144483727296E-4</v>
      </c>
      <c r="O21" s="22">
        <v>0.27907223799068553</v>
      </c>
      <c r="P21" s="22">
        <v>0.97416712692621688</v>
      </c>
      <c r="Q21" s="22">
        <v>0.27907223799068553</v>
      </c>
      <c r="R21" s="22">
        <v>0.97416712692621688</v>
      </c>
    </row>
    <row r="22" spans="1:18" ht="15" thickBot="1" x14ac:dyDescent="0.35">
      <c r="A22">
        <v>2024</v>
      </c>
      <c r="B22">
        <v>17</v>
      </c>
      <c r="C22">
        <v>159</v>
      </c>
      <c r="D22">
        <v>199.333333333333</v>
      </c>
      <c r="E22">
        <v>0</v>
      </c>
      <c r="F22">
        <v>160.75</v>
      </c>
      <c r="G22">
        <v>0</v>
      </c>
      <c r="J22" s="16" t="s">
        <v>63</v>
      </c>
      <c r="K22" s="23">
        <v>0.19960798774898036</v>
      </c>
      <c r="L22" s="23">
        <v>9.5052981575608708E-2</v>
      </c>
      <c r="M22" s="23">
        <v>2.0999655606826462</v>
      </c>
      <c r="N22" s="23">
        <v>4.0697901699957656E-2</v>
      </c>
      <c r="O22" s="23">
        <v>8.7811646176582381E-3</v>
      </c>
      <c r="P22" s="23">
        <v>0.39043481088030252</v>
      </c>
      <c r="Q22" s="23">
        <v>8.7811646176582381E-3</v>
      </c>
      <c r="R22" s="23">
        <v>0.39043481088030252</v>
      </c>
    </row>
    <row r="23" spans="1:18" x14ac:dyDescent="0.3">
      <c r="A23">
        <v>2024</v>
      </c>
      <c r="B23">
        <v>18</v>
      </c>
      <c r="C23">
        <v>152</v>
      </c>
      <c r="D23">
        <v>153.5</v>
      </c>
      <c r="E23">
        <v>1</v>
      </c>
      <c r="F23">
        <v>153.25</v>
      </c>
      <c r="G23">
        <v>19</v>
      </c>
    </row>
    <row r="24" spans="1:18" x14ac:dyDescent="0.3">
      <c r="A24">
        <v>2024</v>
      </c>
      <c r="B24">
        <v>19</v>
      </c>
      <c r="C24">
        <v>154</v>
      </c>
      <c r="D24">
        <v>152.85714285714201</v>
      </c>
      <c r="E24">
        <v>0</v>
      </c>
      <c r="F24">
        <v>147.75</v>
      </c>
      <c r="G24">
        <v>-7</v>
      </c>
    </row>
    <row r="25" spans="1:18" x14ac:dyDescent="0.3">
      <c r="A25">
        <v>2024</v>
      </c>
      <c r="B25">
        <v>20</v>
      </c>
      <c r="C25">
        <v>74</v>
      </c>
      <c r="D25">
        <v>148</v>
      </c>
      <c r="E25">
        <v>1</v>
      </c>
      <c r="F25">
        <v>151.25</v>
      </c>
      <c r="G25">
        <v>2</v>
      </c>
    </row>
    <row r="26" spans="1:18" x14ac:dyDescent="0.3">
      <c r="A26">
        <v>2024</v>
      </c>
      <c r="B26">
        <v>21</v>
      </c>
      <c r="C26">
        <v>151</v>
      </c>
      <c r="D26">
        <v>190.5</v>
      </c>
      <c r="E26">
        <v>1</v>
      </c>
      <c r="F26">
        <v>134.75</v>
      </c>
      <c r="G26">
        <v>-80</v>
      </c>
    </row>
    <row r="27" spans="1:18" x14ac:dyDescent="0.3">
      <c r="A27">
        <v>2024</v>
      </c>
      <c r="B27">
        <v>22</v>
      </c>
      <c r="C27">
        <v>67</v>
      </c>
      <c r="D27">
        <v>132.833333333333</v>
      </c>
      <c r="E27">
        <v>0</v>
      </c>
      <c r="F27">
        <v>132.75</v>
      </c>
      <c r="G27">
        <v>77</v>
      </c>
    </row>
    <row r="28" spans="1:18" x14ac:dyDescent="0.3">
      <c r="A28">
        <v>2024</v>
      </c>
      <c r="B28">
        <v>23</v>
      </c>
      <c r="C28">
        <v>88</v>
      </c>
      <c r="D28">
        <v>161.333333333333</v>
      </c>
      <c r="E28">
        <v>0</v>
      </c>
      <c r="F28">
        <v>111.5</v>
      </c>
      <c r="G28">
        <v>-84</v>
      </c>
    </row>
    <row r="29" spans="1:18" x14ac:dyDescent="0.3">
      <c r="A29">
        <v>2024</v>
      </c>
      <c r="B29">
        <v>24</v>
      </c>
      <c r="C29">
        <v>102</v>
      </c>
      <c r="D29">
        <v>146.4</v>
      </c>
      <c r="E29">
        <v>1</v>
      </c>
      <c r="F29">
        <v>95</v>
      </c>
      <c r="G29">
        <v>21</v>
      </c>
    </row>
    <row r="30" spans="1:18" x14ac:dyDescent="0.3">
      <c r="A30">
        <v>2024</v>
      </c>
      <c r="B30">
        <v>25</v>
      </c>
      <c r="C30">
        <v>135</v>
      </c>
      <c r="D30">
        <v>162.142857142857</v>
      </c>
      <c r="E30">
        <v>1</v>
      </c>
      <c r="F30">
        <v>102</v>
      </c>
      <c r="G30">
        <v>14</v>
      </c>
    </row>
    <row r="31" spans="1:18" x14ac:dyDescent="0.3">
      <c r="A31">
        <v>2024</v>
      </c>
      <c r="B31">
        <v>26</v>
      </c>
      <c r="C31">
        <v>82</v>
      </c>
      <c r="D31">
        <v>188</v>
      </c>
      <c r="E31">
        <v>0</v>
      </c>
      <c r="F31">
        <v>98</v>
      </c>
      <c r="G31">
        <v>33</v>
      </c>
    </row>
    <row r="32" spans="1:18" x14ac:dyDescent="0.3">
      <c r="A32">
        <v>2024</v>
      </c>
      <c r="B32">
        <v>27</v>
      </c>
      <c r="C32">
        <v>147</v>
      </c>
      <c r="D32">
        <v>184.28571428571399</v>
      </c>
      <c r="E32">
        <v>1</v>
      </c>
      <c r="F32">
        <v>101.75</v>
      </c>
      <c r="G32">
        <v>-53</v>
      </c>
    </row>
    <row r="33" spans="1:7" x14ac:dyDescent="0.3">
      <c r="A33">
        <v>2024</v>
      </c>
      <c r="B33">
        <v>28</v>
      </c>
      <c r="C33">
        <v>114</v>
      </c>
      <c r="D33">
        <v>171</v>
      </c>
      <c r="E33">
        <v>1</v>
      </c>
      <c r="F33">
        <v>116.5</v>
      </c>
      <c r="G33">
        <v>65</v>
      </c>
    </row>
    <row r="34" spans="1:7" x14ac:dyDescent="0.3">
      <c r="A34">
        <v>2024</v>
      </c>
      <c r="B34">
        <v>29</v>
      </c>
      <c r="C34">
        <v>95</v>
      </c>
      <c r="D34">
        <v>160.19999999999999</v>
      </c>
      <c r="E34">
        <v>1</v>
      </c>
      <c r="F34">
        <v>119.5</v>
      </c>
      <c r="G34">
        <v>-33</v>
      </c>
    </row>
    <row r="35" spans="1:7" x14ac:dyDescent="0.3">
      <c r="A35">
        <v>2024</v>
      </c>
      <c r="B35">
        <v>30</v>
      </c>
      <c r="C35">
        <v>94</v>
      </c>
      <c r="D35">
        <v>162.833333333333</v>
      </c>
      <c r="E35">
        <v>0</v>
      </c>
      <c r="F35">
        <v>109.5</v>
      </c>
      <c r="G35">
        <v>-19</v>
      </c>
    </row>
    <row r="36" spans="1:7" x14ac:dyDescent="0.3">
      <c r="A36">
        <v>2024</v>
      </c>
      <c r="B36">
        <v>31</v>
      </c>
      <c r="C36">
        <v>135</v>
      </c>
      <c r="D36">
        <v>144.28571428571399</v>
      </c>
      <c r="E36">
        <v>1</v>
      </c>
      <c r="F36">
        <v>112.5</v>
      </c>
      <c r="G36">
        <v>-1</v>
      </c>
    </row>
    <row r="37" spans="1:7" x14ac:dyDescent="0.3">
      <c r="A37">
        <v>2024</v>
      </c>
      <c r="B37">
        <v>32</v>
      </c>
      <c r="C37">
        <v>106</v>
      </c>
      <c r="D37">
        <v>152.57142857142799</v>
      </c>
      <c r="E37">
        <v>1</v>
      </c>
      <c r="F37">
        <v>109.5</v>
      </c>
      <c r="G37">
        <v>41</v>
      </c>
    </row>
    <row r="38" spans="1:7" x14ac:dyDescent="0.3">
      <c r="A38">
        <v>2024</v>
      </c>
      <c r="B38">
        <v>33</v>
      </c>
      <c r="C38">
        <v>87</v>
      </c>
      <c r="D38">
        <v>152.6</v>
      </c>
      <c r="E38">
        <v>1</v>
      </c>
      <c r="F38">
        <v>107.5</v>
      </c>
      <c r="G38">
        <v>-29</v>
      </c>
    </row>
    <row r="39" spans="1:7" x14ac:dyDescent="0.3">
      <c r="A39">
        <v>2024</v>
      </c>
      <c r="B39">
        <v>34</v>
      </c>
      <c r="C39">
        <v>103</v>
      </c>
      <c r="D39">
        <v>157.5</v>
      </c>
      <c r="E39">
        <v>0</v>
      </c>
      <c r="F39">
        <v>105.5</v>
      </c>
      <c r="G39">
        <v>-19</v>
      </c>
    </row>
    <row r="40" spans="1:7" x14ac:dyDescent="0.3">
      <c r="A40">
        <v>2024</v>
      </c>
      <c r="B40">
        <v>35</v>
      </c>
      <c r="C40">
        <v>135</v>
      </c>
      <c r="D40">
        <v>154.71428571428501</v>
      </c>
      <c r="E40">
        <v>1</v>
      </c>
      <c r="F40">
        <v>107.75</v>
      </c>
      <c r="G40">
        <v>16</v>
      </c>
    </row>
    <row r="41" spans="1:7" x14ac:dyDescent="0.3">
      <c r="A41">
        <v>2024</v>
      </c>
      <c r="B41">
        <v>36</v>
      </c>
      <c r="C41">
        <v>121</v>
      </c>
      <c r="D41">
        <v>180.85714285714201</v>
      </c>
      <c r="E41">
        <v>0</v>
      </c>
      <c r="F41">
        <v>107.75</v>
      </c>
      <c r="G41">
        <v>32</v>
      </c>
    </row>
    <row r="42" spans="1:7" x14ac:dyDescent="0.3">
      <c r="A42">
        <v>2024</v>
      </c>
      <c r="B42">
        <v>37</v>
      </c>
      <c r="C42">
        <v>72</v>
      </c>
      <c r="D42">
        <v>199.75</v>
      </c>
      <c r="E42">
        <v>0</v>
      </c>
      <c r="F42">
        <v>111.5</v>
      </c>
      <c r="G42">
        <v>-14</v>
      </c>
    </row>
    <row r="43" spans="1:7" x14ac:dyDescent="0.3">
      <c r="A43">
        <v>2024</v>
      </c>
      <c r="B43">
        <v>38</v>
      </c>
      <c r="C43">
        <v>119</v>
      </c>
      <c r="D43">
        <v>172.28571428571399</v>
      </c>
      <c r="E43">
        <v>0</v>
      </c>
      <c r="F43">
        <v>107.75</v>
      </c>
      <c r="G43">
        <v>-49</v>
      </c>
    </row>
    <row r="44" spans="1:7" x14ac:dyDescent="0.3">
      <c r="A44">
        <v>2024</v>
      </c>
      <c r="B44">
        <v>39</v>
      </c>
      <c r="C44">
        <v>91</v>
      </c>
      <c r="D44">
        <v>153.833333333333</v>
      </c>
      <c r="E44">
        <v>0</v>
      </c>
      <c r="F44">
        <v>111.75</v>
      </c>
      <c r="G44">
        <v>47</v>
      </c>
    </row>
    <row r="45" spans="1:7" x14ac:dyDescent="0.3">
      <c r="A45">
        <v>2024</v>
      </c>
      <c r="B45">
        <v>40</v>
      </c>
      <c r="C45">
        <v>116</v>
      </c>
      <c r="D45">
        <v>154.28571428571399</v>
      </c>
      <c r="E45">
        <v>1</v>
      </c>
      <c r="F45">
        <v>100.75</v>
      </c>
      <c r="G45">
        <v>-28</v>
      </c>
    </row>
    <row r="46" spans="1:7" x14ac:dyDescent="0.3">
      <c r="A46">
        <v>2024</v>
      </c>
      <c r="B46">
        <v>41</v>
      </c>
      <c r="C46">
        <v>122</v>
      </c>
      <c r="D46">
        <v>130</v>
      </c>
      <c r="E46">
        <v>1</v>
      </c>
      <c r="F46">
        <v>99.5</v>
      </c>
      <c r="G46">
        <v>25</v>
      </c>
    </row>
    <row r="47" spans="1:7" x14ac:dyDescent="0.3">
      <c r="A47">
        <v>2024</v>
      </c>
      <c r="B47">
        <v>42</v>
      </c>
      <c r="C47">
        <v>155</v>
      </c>
      <c r="D47">
        <v>191.833333333333</v>
      </c>
      <c r="E47">
        <v>1</v>
      </c>
      <c r="F47">
        <v>112</v>
      </c>
      <c r="G47">
        <v>6</v>
      </c>
    </row>
    <row r="48" spans="1:7" x14ac:dyDescent="0.3">
      <c r="A48">
        <v>2024</v>
      </c>
      <c r="B48">
        <v>43</v>
      </c>
      <c r="C48">
        <v>103</v>
      </c>
      <c r="D48">
        <v>190.6</v>
      </c>
      <c r="E48">
        <v>0</v>
      </c>
      <c r="F48">
        <v>121</v>
      </c>
      <c r="G48">
        <v>33</v>
      </c>
    </row>
    <row r="49" spans="1:7" x14ac:dyDescent="0.3">
      <c r="A49">
        <v>2024</v>
      </c>
      <c r="B49">
        <v>44</v>
      </c>
      <c r="C49">
        <v>93</v>
      </c>
      <c r="D49">
        <v>131.57142857142799</v>
      </c>
      <c r="E49">
        <v>0</v>
      </c>
      <c r="F49">
        <v>124</v>
      </c>
      <c r="G49">
        <v>-52</v>
      </c>
    </row>
    <row r="50" spans="1:7" x14ac:dyDescent="0.3">
      <c r="A50">
        <v>2024</v>
      </c>
      <c r="B50">
        <v>45</v>
      </c>
      <c r="C50">
        <v>84</v>
      </c>
      <c r="D50">
        <v>133.6</v>
      </c>
      <c r="E50">
        <v>0</v>
      </c>
      <c r="F50">
        <v>118.25</v>
      </c>
      <c r="G50">
        <v>-10</v>
      </c>
    </row>
    <row r="51" spans="1:7" x14ac:dyDescent="0.3">
      <c r="A51">
        <v>2024</v>
      </c>
      <c r="B51">
        <v>46</v>
      </c>
      <c r="C51">
        <v>82</v>
      </c>
      <c r="D51">
        <v>129.833333333333</v>
      </c>
      <c r="E51">
        <v>0</v>
      </c>
      <c r="F51">
        <v>108.75</v>
      </c>
      <c r="G51">
        <v>-9</v>
      </c>
    </row>
    <row r="52" spans="1:7" x14ac:dyDescent="0.3">
      <c r="A52">
        <v>2024</v>
      </c>
      <c r="B52">
        <v>47</v>
      </c>
      <c r="C52">
        <v>164</v>
      </c>
      <c r="D52">
        <v>178.28571428571399</v>
      </c>
      <c r="E52">
        <v>1</v>
      </c>
      <c r="F52">
        <v>90.5</v>
      </c>
      <c r="G52">
        <v>-2</v>
      </c>
    </row>
    <row r="53" spans="1:7" x14ac:dyDescent="0.3">
      <c r="A53">
        <v>2024</v>
      </c>
      <c r="B53">
        <v>48</v>
      </c>
      <c r="C53">
        <v>150</v>
      </c>
      <c r="D53">
        <v>192.6</v>
      </c>
      <c r="E53">
        <v>1</v>
      </c>
      <c r="F53">
        <v>105.75</v>
      </c>
      <c r="G53">
        <v>82</v>
      </c>
    </row>
    <row r="54" spans="1:7" x14ac:dyDescent="0.3">
      <c r="A54">
        <v>2024</v>
      </c>
      <c r="B54">
        <v>49</v>
      </c>
      <c r="C54">
        <v>49</v>
      </c>
      <c r="D54">
        <v>155.333333333333</v>
      </c>
      <c r="E54">
        <v>0</v>
      </c>
      <c r="F54">
        <v>120</v>
      </c>
      <c r="G54">
        <v>-14</v>
      </c>
    </row>
    <row r="55" spans="1:7" x14ac:dyDescent="0.3">
      <c r="A55">
        <v>2024</v>
      </c>
      <c r="B55">
        <v>50</v>
      </c>
      <c r="C55">
        <v>140</v>
      </c>
      <c r="D55">
        <v>183.8</v>
      </c>
      <c r="E55">
        <v>1</v>
      </c>
      <c r="F55">
        <v>111.25</v>
      </c>
      <c r="G55">
        <v>-101</v>
      </c>
    </row>
    <row r="56" spans="1:7" x14ac:dyDescent="0.3">
      <c r="A56">
        <v>2024</v>
      </c>
      <c r="B56">
        <v>51</v>
      </c>
      <c r="C56">
        <v>122</v>
      </c>
      <c r="D56">
        <v>147.42857142857099</v>
      </c>
      <c r="E56">
        <v>0</v>
      </c>
      <c r="F56">
        <v>125.75</v>
      </c>
      <c r="G56">
        <v>91</v>
      </c>
    </row>
    <row r="57" spans="1:7" x14ac:dyDescent="0.3">
      <c r="A57">
        <v>2024</v>
      </c>
      <c r="B57">
        <v>52</v>
      </c>
      <c r="C57">
        <v>125</v>
      </c>
      <c r="D57">
        <v>179.57142857142799</v>
      </c>
      <c r="E57">
        <v>0</v>
      </c>
      <c r="F57">
        <v>115.25</v>
      </c>
      <c r="G57">
        <v>-18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56EE-6D66-4ECE-B74D-F1E4463B5786}">
  <dimension ref="A1:I30"/>
  <sheetViews>
    <sheetView workbookViewId="0">
      <selection activeCell="J13" sqref="J13"/>
    </sheetView>
  </sheetViews>
  <sheetFormatPr defaultRowHeight="14.4" x14ac:dyDescent="0.3"/>
  <cols>
    <col min="13" max="13" width="14.5546875" customWidth="1"/>
    <col min="14" max="14" width="11.5546875" customWidth="1"/>
    <col min="15" max="15" width="13.88671875" customWidth="1"/>
    <col min="16" max="16" width="10.33203125" customWidth="1"/>
  </cols>
  <sheetData>
    <row r="1" spans="1:9" x14ac:dyDescent="0.3">
      <c r="A1" t="s">
        <v>38</v>
      </c>
    </row>
    <row r="2" spans="1:9" ht="15" thickBot="1" x14ac:dyDescent="0.35"/>
    <row r="3" spans="1:9" x14ac:dyDescent="0.3">
      <c r="A3" s="20" t="s">
        <v>39</v>
      </c>
      <c r="B3" s="20"/>
    </row>
    <row r="4" spans="1:9" x14ac:dyDescent="0.3">
      <c r="A4" t="s">
        <v>40</v>
      </c>
      <c r="B4">
        <v>0.63597976317261073</v>
      </c>
    </row>
    <row r="5" spans="1:9" x14ac:dyDescent="0.3">
      <c r="A5" t="s">
        <v>41</v>
      </c>
      <c r="B5">
        <v>0.40447025916509</v>
      </c>
    </row>
    <row r="6" spans="1:9" x14ac:dyDescent="0.3">
      <c r="A6" t="s">
        <v>42</v>
      </c>
      <c r="B6">
        <v>0.21502009893209187</v>
      </c>
    </row>
    <row r="7" spans="1:9" x14ac:dyDescent="0.3">
      <c r="A7" t="s">
        <v>43</v>
      </c>
      <c r="B7">
        <v>31.568333281368382</v>
      </c>
    </row>
    <row r="8" spans="1:9" ht="15" thickBot="1" x14ac:dyDescent="0.35">
      <c r="A8" s="1" t="s">
        <v>44</v>
      </c>
      <c r="B8" s="1">
        <v>56</v>
      </c>
    </row>
    <row r="10" spans="1:9" ht="15" thickBot="1" x14ac:dyDescent="0.35">
      <c r="A10" t="s">
        <v>45</v>
      </c>
    </row>
    <row r="11" spans="1:9" x14ac:dyDescent="0.3">
      <c r="A11" s="19"/>
      <c r="B11" s="19" t="s">
        <v>50</v>
      </c>
      <c r="C11" s="19" t="s">
        <v>51</v>
      </c>
      <c r="D11" s="19" t="s">
        <v>52</v>
      </c>
      <c r="E11" s="19" t="s">
        <v>53</v>
      </c>
      <c r="F11" s="19" t="s">
        <v>54</v>
      </c>
    </row>
    <row r="12" spans="1:9" x14ac:dyDescent="0.3">
      <c r="A12" t="s">
        <v>46</v>
      </c>
      <c r="B12">
        <v>13</v>
      </c>
      <c r="C12">
        <v>29104.148640681611</v>
      </c>
      <c r="D12">
        <v>2238.7806646678164</v>
      </c>
      <c r="E12">
        <v>2.4337185242441515</v>
      </c>
      <c r="F12">
        <v>1.4804157649771447E-2</v>
      </c>
    </row>
    <row r="13" spans="1:9" x14ac:dyDescent="0.3">
      <c r="A13" t="s">
        <v>47</v>
      </c>
      <c r="B13">
        <v>43</v>
      </c>
      <c r="C13">
        <v>42852.065645032679</v>
      </c>
      <c r="D13">
        <v>996.55966616355067</v>
      </c>
    </row>
    <row r="14" spans="1:9" ht="15" thickBot="1" x14ac:dyDescent="0.35">
      <c r="A14" s="1" t="s">
        <v>48</v>
      </c>
      <c r="B14" s="1">
        <v>56</v>
      </c>
      <c r="C14" s="1">
        <v>71956.21428571429</v>
      </c>
      <c r="D14" s="1"/>
      <c r="E14" s="1"/>
      <c r="F14" s="1"/>
    </row>
    <row r="15" spans="1:9" ht="15" thickBot="1" x14ac:dyDescent="0.35"/>
    <row r="16" spans="1:9" x14ac:dyDescent="0.3">
      <c r="A16" s="19"/>
      <c r="B16" s="19" t="s">
        <v>55</v>
      </c>
      <c r="C16" s="19" t="s">
        <v>43</v>
      </c>
      <c r="D16" s="19" t="s">
        <v>56</v>
      </c>
      <c r="E16" s="19" t="s">
        <v>57</v>
      </c>
      <c r="F16" s="19" t="s">
        <v>58</v>
      </c>
      <c r="G16" s="19" t="s">
        <v>59</v>
      </c>
      <c r="H16" s="19" t="s">
        <v>60</v>
      </c>
      <c r="I16" s="19" t="s">
        <v>61</v>
      </c>
    </row>
    <row r="17" spans="1:9" x14ac:dyDescent="0.3">
      <c r="A17" t="s">
        <v>49</v>
      </c>
      <c r="B17">
        <v>-65.756006340477924</v>
      </c>
      <c r="C17">
        <v>64.114350103800163</v>
      </c>
      <c r="D17">
        <v>-1.0256051294916029</v>
      </c>
      <c r="E17">
        <v>0.31081294422373101</v>
      </c>
      <c r="F17">
        <v>-195.0549160533734</v>
      </c>
      <c r="G17">
        <v>63.542903372417541</v>
      </c>
      <c r="H17">
        <v>-195.0549160533734</v>
      </c>
      <c r="I17">
        <v>63.542903372417541</v>
      </c>
    </row>
    <row r="18" spans="1:9" x14ac:dyDescent="0.3">
      <c r="A18" t="s">
        <v>10</v>
      </c>
      <c r="B18">
        <v>0.64023545472096277</v>
      </c>
      <c r="C18">
        <v>0.23475293033787184</v>
      </c>
      <c r="D18">
        <v>2.7272735373291992</v>
      </c>
      <c r="E18">
        <v>9.2071430573260303E-3</v>
      </c>
      <c r="F18">
        <v>0.16681105136270363</v>
      </c>
      <c r="G18">
        <v>1.1136598580792219</v>
      </c>
      <c r="H18">
        <v>0.16681105136270363</v>
      </c>
      <c r="I18">
        <v>1.1136598580792219</v>
      </c>
    </row>
    <row r="19" spans="1:9" x14ac:dyDescent="0.3">
      <c r="A19" t="s">
        <v>12</v>
      </c>
      <c r="B19">
        <v>1.8050133313923511</v>
      </c>
      <c r="C19">
        <v>5.3507659438917861</v>
      </c>
      <c r="D19">
        <v>0.33733737381147832</v>
      </c>
      <c r="E19">
        <v>0.73750376322629396</v>
      </c>
      <c r="F19">
        <v>-8.9858346075481226</v>
      </c>
      <c r="G19">
        <v>12.595861270332824</v>
      </c>
      <c r="H19">
        <v>-8.9858346075481226</v>
      </c>
      <c r="I19">
        <v>12.595861270332824</v>
      </c>
    </row>
    <row r="20" spans="1:9" x14ac:dyDescent="0.3">
      <c r="A20" t="s">
        <v>11</v>
      </c>
      <c r="B20">
        <v>31.819874903514879</v>
      </c>
      <c r="C20">
        <v>9.6998099167187153</v>
      </c>
      <c r="D20">
        <v>3.2804637592608636</v>
      </c>
      <c r="E20">
        <v>2.059898156070833E-3</v>
      </c>
      <c r="F20">
        <v>12.258343910475549</v>
      </c>
      <c r="G20">
        <v>51.381405896554213</v>
      </c>
      <c r="H20">
        <v>12.258343910475549</v>
      </c>
      <c r="I20">
        <v>51.381405896554213</v>
      </c>
    </row>
    <row r="21" spans="1:9" x14ac:dyDescent="0.3">
      <c r="A21" t="s">
        <v>64</v>
      </c>
      <c r="B21">
        <v>-3.2066952071274741</v>
      </c>
      <c r="C21">
        <v>21.151317140316948</v>
      </c>
      <c r="D21">
        <v>-0.15160735314280396</v>
      </c>
      <c r="E21">
        <v>0.88020570376216356</v>
      </c>
      <c r="F21">
        <v>-45.862391487398448</v>
      </c>
      <c r="G21">
        <v>39.449001073143499</v>
      </c>
      <c r="H21">
        <v>-45.862391487398448</v>
      </c>
      <c r="I21">
        <v>39.449001073143499</v>
      </c>
    </row>
    <row r="22" spans="1:9" x14ac:dyDescent="0.3">
      <c r="A22" t="s">
        <v>65</v>
      </c>
      <c r="B22">
        <v>-6.6334060140944171</v>
      </c>
      <c r="C22">
        <v>20.226253816690903</v>
      </c>
      <c r="D22">
        <v>-0.32796018848633579</v>
      </c>
      <c r="E22">
        <v>0.74453336453715779</v>
      </c>
      <c r="F22">
        <v>-47.423534305816979</v>
      </c>
      <c r="G22">
        <v>34.156722277628141</v>
      </c>
      <c r="H22">
        <v>-47.423534305816979</v>
      </c>
      <c r="I22">
        <v>34.156722277628141</v>
      </c>
    </row>
    <row r="23" spans="1:9" x14ac:dyDescent="0.3">
      <c r="A23" t="s">
        <v>13</v>
      </c>
      <c r="B23">
        <v>4.6725714678485266</v>
      </c>
      <c r="C23">
        <v>13.217690804597096</v>
      </c>
      <c r="D23">
        <v>0.35350890990909034</v>
      </c>
      <c r="E23">
        <v>0.72543432203314984</v>
      </c>
      <c r="F23">
        <v>-21.983442469587786</v>
      </c>
      <c r="G23">
        <v>31.328585405284841</v>
      </c>
      <c r="H23">
        <v>-21.983442469587786</v>
      </c>
      <c r="I23">
        <v>31.328585405284841</v>
      </c>
    </row>
    <row r="24" spans="1:9" x14ac:dyDescent="0.3">
      <c r="A24" t="s">
        <v>66</v>
      </c>
      <c r="B24">
        <v>-12.414553451546508</v>
      </c>
      <c r="C24">
        <v>13.016053308063105</v>
      </c>
      <c r="D24">
        <v>-0.95378784626335367</v>
      </c>
      <c r="E24">
        <v>0.34552229175884364</v>
      </c>
      <c r="F24">
        <v>-38.663926622650898</v>
      </c>
      <c r="G24">
        <v>13.834819719557879</v>
      </c>
      <c r="H24">
        <v>-38.663926622650898</v>
      </c>
      <c r="I24">
        <v>13.834819719557879</v>
      </c>
    </row>
    <row r="25" spans="1:9" x14ac:dyDescent="0.3">
      <c r="A25" t="s">
        <v>67</v>
      </c>
      <c r="B25">
        <v>0.77211286207555663</v>
      </c>
      <c r="C25">
        <v>17.750420972614879</v>
      </c>
      <c r="D25">
        <v>4.3498284534590044E-2</v>
      </c>
      <c r="E25">
        <v>0.96550570041462302</v>
      </c>
      <c r="F25">
        <v>-35.025022646406846</v>
      </c>
      <c r="G25">
        <v>36.569248370557965</v>
      </c>
      <c r="H25">
        <v>-35.025022646406846</v>
      </c>
      <c r="I25">
        <v>36.569248370557965</v>
      </c>
    </row>
    <row r="26" spans="1:9" x14ac:dyDescent="0.3">
      <c r="A26" t="s">
        <v>14</v>
      </c>
      <c r="B26">
        <v>-0.20364634216722335</v>
      </c>
      <c r="C26">
        <v>0.28227040260957453</v>
      </c>
      <c r="D26">
        <v>-0.72145836150203491</v>
      </c>
      <c r="E26">
        <v>0.47453235660453164</v>
      </c>
      <c r="F26">
        <v>-0.77289886118284978</v>
      </c>
      <c r="G26">
        <v>0.36560617684840313</v>
      </c>
      <c r="H26">
        <v>-0.77289886118284978</v>
      </c>
      <c r="I26">
        <v>0.36560617684840313</v>
      </c>
    </row>
    <row r="27" spans="1:9" x14ac:dyDescent="0.3">
      <c r="A27" t="s">
        <v>62</v>
      </c>
      <c r="B27">
        <v>0</v>
      </c>
      <c r="C27">
        <v>0</v>
      </c>
      <c r="D27">
        <v>65535</v>
      </c>
      <c r="E27" t="e">
        <v>#NUM!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15</v>
      </c>
      <c r="B28">
        <v>0.73206251899827413</v>
      </c>
      <c r="C28">
        <v>0.37594642381174387</v>
      </c>
      <c r="D28">
        <v>1.9472522482747603</v>
      </c>
      <c r="E28" t="e">
        <v>#NUM!</v>
      </c>
      <c r="F28">
        <v>-2.6105701230467515E-2</v>
      </c>
      <c r="G28">
        <v>1.4902307392270158</v>
      </c>
      <c r="H28">
        <v>-2.6105701230467515E-2</v>
      </c>
      <c r="I28">
        <v>1.4902307392270158</v>
      </c>
    </row>
    <row r="29" spans="1:9" x14ac:dyDescent="0.3">
      <c r="A29" t="s">
        <v>16</v>
      </c>
      <c r="B29">
        <v>1.2113755662554116E-2</v>
      </c>
      <c r="C29">
        <v>0.48206834871017595</v>
      </c>
      <c r="D29">
        <v>2.5128709849891059E-2</v>
      </c>
      <c r="E29">
        <v>0.98006855681293303</v>
      </c>
      <c r="F29">
        <v>-0.96006972267589652</v>
      </c>
      <c r="G29">
        <v>0.98429723400100477</v>
      </c>
      <c r="H29">
        <v>-0.96006972267589652</v>
      </c>
      <c r="I29">
        <v>0.98429723400100477</v>
      </c>
    </row>
    <row r="30" spans="1:9" ht="15" thickBot="1" x14ac:dyDescent="0.35">
      <c r="A30" s="1" t="s">
        <v>63</v>
      </c>
      <c r="B30" s="1">
        <v>0.29811114160790969</v>
      </c>
      <c r="C30" s="1">
        <v>0.18025544350404962</v>
      </c>
      <c r="D30" s="1">
        <v>1.6538260138657743</v>
      </c>
      <c r="E30" s="1">
        <v>0.10544601542708271</v>
      </c>
      <c r="F30" s="1">
        <v>-6.5408605175059087E-2</v>
      </c>
      <c r="G30" s="1">
        <v>0.66163088839087847</v>
      </c>
      <c r="H30" s="1">
        <v>-6.5408605175059087E-2</v>
      </c>
      <c r="I30" s="1">
        <v>0.66163088839087847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C8C8-FF4E-42F4-9E9A-0BBAEFB599CF}">
  <dimension ref="A1:H79"/>
  <sheetViews>
    <sheetView tabSelected="1" workbookViewId="0">
      <selection activeCell="I6" sqref="I6"/>
    </sheetView>
  </sheetViews>
  <sheetFormatPr defaultRowHeight="14.4" x14ac:dyDescent="0.3"/>
  <cols>
    <col min="1" max="1" width="6.77734375" bestFit="1" customWidth="1"/>
    <col min="2" max="2" width="8.5546875" bestFit="1" customWidth="1"/>
    <col min="3" max="3" width="14.77734375" bestFit="1" customWidth="1"/>
    <col min="4" max="4" width="15.77734375" bestFit="1" customWidth="1"/>
    <col min="5" max="5" width="16.44140625" bestFit="1" customWidth="1"/>
    <col min="7" max="7" width="17.33203125" customWidth="1"/>
    <col min="8" max="8" width="25.33203125" customWidth="1"/>
    <col min="12" max="12" width="19.6640625" customWidth="1"/>
  </cols>
  <sheetData>
    <row r="1" spans="1:8" x14ac:dyDescent="0.3">
      <c r="A1" t="s">
        <v>2</v>
      </c>
      <c r="B1" t="s">
        <v>3</v>
      </c>
      <c r="C1" t="s">
        <v>4</v>
      </c>
      <c r="D1" t="s">
        <v>5</v>
      </c>
      <c r="E1" t="s">
        <v>0</v>
      </c>
      <c r="G1" s="11" t="s">
        <v>17</v>
      </c>
    </row>
    <row r="2" spans="1:8" x14ac:dyDescent="0.3">
      <c r="A2">
        <v>2025</v>
      </c>
      <c r="B2">
        <v>7</v>
      </c>
      <c r="C2">
        <v>27</v>
      </c>
      <c r="D2" t="s">
        <v>6</v>
      </c>
      <c r="E2">
        <v>281</v>
      </c>
      <c r="G2" s="4" t="s">
        <v>18</v>
      </c>
      <c r="H2" s="4">
        <f>AVERAGE(inv_cal[total_units_sold])</f>
        <v>325.70512820512823</v>
      </c>
    </row>
    <row r="3" spans="1:8" x14ac:dyDescent="0.3">
      <c r="A3">
        <v>2025</v>
      </c>
      <c r="B3">
        <v>7</v>
      </c>
      <c r="C3">
        <v>28</v>
      </c>
      <c r="D3" t="s">
        <v>6</v>
      </c>
      <c r="E3">
        <v>284</v>
      </c>
      <c r="G3" s="4" t="s">
        <v>19</v>
      </c>
      <c r="H3" s="4">
        <f>_xlfn.STDEV.S(inv_cal[total_units_sold])</f>
        <v>52.198947338333404</v>
      </c>
    </row>
    <row r="4" spans="1:8" x14ac:dyDescent="0.3">
      <c r="A4">
        <v>2025</v>
      </c>
      <c r="B4">
        <v>7</v>
      </c>
      <c r="C4">
        <v>29</v>
      </c>
      <c r="D4" t="s">
        <v>6</v>
      </c>
      <c r="E4">
        <v>338</v>
      </c>
      <c r="G4" s="4" t="s">
        <v>20</v>
      </c>
      <c r="H4" s="4">
        <f>COUNT(inv_cal[total_units_sold])</f>
        <v>78</v>
      </c>
    </row>
    <row r="5" spans="1:8" x14ac:dyDescent="0.3">
      <c r="A5">
        <v>2025</v>
      </c>
      <c r="B5">
        <v>7</v>
      </c>
      <c r="C5">
        <v>30</v>
      </c>
      <c r="D5" t="s">
        <v>6</v>
      </c>
      <c r="E5">
        <v>348</v>
      </c>
    </row>
    <row r="6" spans="1:8" x14ac:dyDescent="0.3">
      <c r="A6">
        <v>2025</v>
      </c>
      <c r="B6">
        <v>7</v>
      </c>
      <c r="C6">
        <v>31</v>
      </c>
      <c r="D6" t="s">
        <v>6</v>
      </c>
      <c r="E6">
        <v>294</v>
      </c>
      <c r="G6" s="12" t="s">
        <v>21</v>
      </c>
    </row>
    <row r="7" spans="1:8" x14ac:dyDescent="0.3">
      <c r="A7">
        <v>2025</v>
      </c>
      <c r="B7">
        <v>8</v>
      </c>
      <c r="C7">
        <v>32</v>
      </c>
      <c r="D7" t="s">
        <v>6</v>
      </c>
      <c r="E7">
        <v>281</v>
      </c>
      <c r="G7" s="5" t="s">
        <v>22</v>
      </c>
      <c r="H7" s="6">
        <f>_xlfn.NORM.S.INV(95%)</f>
        <v>1.6448536269514715</v>
      </c>
    </row>
    <row r="8" spans="1:8" x14ac:dyDescent="0.3">
      <c r="A8">
        <v>2025</v>
      </c>
      <c r="B8">
        <v>8</v>
      </c>
      <c r="C8">
        <v>33</v>
      </c>
      <c r="D8" t="s">
        <v>6</v>
      </c>
      <c r="E8">
        <v>325</v>
      </c>
      <c r="G8" s="7"/>
      <c r="H8" s="8"/>
    </row>
    <row r="9" spans="1:8" x14ac:dyDescent="0.3">
      <c r="A9">
        <v>2025</v>
      </c>
      <c r="B9">
        <v>8</v>
      </c>
      <c r="C9">
        <v>34</v>
      </c>
      <c r="D9" t="s">
        <v>6</v>
      </c>
      <c r="E9">
        <v>268</v>
      </c>
      <c r="G9" s="5" t="s">
        <v>23</v>
      </c>
      <c r="H9" s="6" t="s">
        <v>34</v>
      </c>
    </row>
    <row r="10" spans="1:8" x14ac:dyDescent="0.3">
      <c r="A10">
        <v>2025</v>
      </c>
      <c r="B10">
        <v>8</v>
      </c>
      <c r="C10">
        <v>35</v>
      </c>
      <c r="D10" t="s">
        <v>6</v>
      </c>
      <c r="E10">
        <v>263</v>
      </c>
      <c r="G10" s="9" t="s">
        <v>24</v>
      </c>
      <c r="H10" s="10">
        <f>H2-((H7*H3)/SQRT(H4))</f>
        <v>315.98343972736876</v>
      </c>
    </row>
    <row r="11" spans="1:8" x14ac:dyDescent="0.3">
      <c r="A11">
        <v>2025</v>
      </c>
      <c r="B11">
        <v>9</v>
      </c>
      <c r="C11">
        <v>36</v>
      </c>
      <c r="D11" t="s">
        <v>6</v>
      </c>
      <c r="E11">
        <v>267</v>
      </c>
      <c r="G11" s="9" t="s">
        <v>25</v>
      </c>
      <c r="H11" s="10">
        <f>H2+((H7*H3)/SQRT(H4))</f>
        <v>335.4268166828877</v>
      </c>
    </row>
    <row r="12" spans="1:8" x14ac:dyDescent="0.3">
      <c r="A12">
        <v>2025</v>
      </c>
      <c r="B12">
        <v>9</v>
      </c>
      <c r="C12">
        <v>37</v>
      </c>
      <c r="D12" t="s">
        <v>6</v>
      </c>
      <c r="E12">
        <v>348</v>
      </c>
      <c r="G12" s="7"/>
      <c r="H12" s="8"/>
    </row>
    <row r="13" spans="1:8" x14ac:dyDescent="0.3">
      <c r="A13">
        <v>2025</v>
      </c>
      <c r="B13">
        <v>9</v>
      </c>
      <c r="C13">
        <v>38</v>
      </c>
      <c r="D13" t="s">
        <v>6</v>
      </c>
      <c r="E13">
        <v>232</v>
      </c>
      <c r="G13" s="5" t="s">
        <v>26</v>
      </c>
      <c r="H13" s="6" t="s">
        <v>35</v>
      </c>
    </row>
    <row r="14" spans="1:8" x14ac:dyDescent="0.3">
      <c r="A14">
        <v>2025</v>
      </c>
      <c r="B14">
        <v>9</v>
      </c>
      <c r="C14">
        <v>39</v>
      </c>
      <c r="D14" t="s">
        <v>6</v>
      </c>
      <c r="E14">
        <v>330</v>
      </c>
      <c r="G14" s="9" t="s">
        <v>24</v>
      </c>
      <c r="H14" s="10">
        <f>H2-(H7*H3)</f>
        <v>239.84550035262168</v>
      </c>
    </row>
    <row r="15" spans="1:8" x14ac:dyDescent="0.3">
      <c r="A15">
        <v>2025</v>
      </c>
      <c r="B15">
        <v>9</v>
      </c>
      <c r="C15">
        <v>40</v>
      </c>
      <c r="D15" t="s">
        <v>6</v>
      </c>
      <c r="E15">
        <v>282</v>
      </c>
      <c r="G15" s="9" t="s">
        <v>25</v>
      </c>
      <c r="H15" s="10">
        <f>H2+(H7*H3)</f>
        <v>411.56475605763478</v>
      </c>
    </row>
    <row r="16" spans="1:8" x14ac:dyDescent="0.3">
      <c r="A16">
        <v>2025</v>
      </c>
      <c r="B16">
        <v>10</v>
      </c>
      <c r="C16">
        <v>41</v>
      </c>
      <c r="D16" t="s">
        <v>6</v>
      </c>
      <c r="E16">
        <v>367</v>
      </c>
      <c r="G16" s="7"/>
      <c r="H16" s="8"/>
    </row>
    <row r="17" spans="1:8" x14ac:dyDescent="0.3">
      <c r="A17">
        <v>2025</v>
      </c>
      <c r="B17">
        <v>10</v>
      </c>
      <c r="C17">
        <v>42</v>
      </c>
      <c r="D17" t="s">
        <v>6</v>
      </c>
      <c r="E17">
        <v>322</v>
      </c>
      <c r="G17" s="5" t="s">
        <v>27</v>
      </c>
      <c r="H17" s="6"/>
    </row>
    <row r="18" spans="1:8" x14ac:dyDescent="0.3">
      <c r="A18">
        <v>2025</v>
      </c>
      <c r="B18">
        <v>10</v>
      </c>
      <c r="C18">
        <v>43</v>
      </c>
      <c r="D18" t="s">
        <v>6</v>
      </c>
      <c r="E18">
        <v>396</v>
      </c>
      <c r="G18" s="9"/>
      <c r="H18" s="10">
        <f>_xlfn.NORM.INV(90%,H2,H3)</f>
        <v>392.60077088634955</v>
      </c>
    </row>
    <row r="19" spans="1:8" x14ac:dyDescent="0.3">
      <c r="A19">
        <v>2025</v>
      </c>
      <c r="B19">
        <v>10</v>
      </c>
      <c r="C19">
        <v>44</v>
      </c>
      <c r="D19" t="s">
        <v>6</v>
      </c>
      <c r="E19">
        <v>346</v>
      </c>
      <c r="G19" s="7"/>
      <c r="H19" s="8"/>
    </row>
    <row r="20" spans="1:8" x14ac:dyDescent="0.3">
      <c r="A20">
        <v>2025</v>
      </c>
      <c r="B20">
        <v>11</v>
      </c>
      <c r="C20">
        <v>45</v>
      </c>
      <c r="D20" t="s">
        <v>6</v>
      </c>
      <c r="E20">
        <v>302</v>
      </c>
    </row>
    <row r="21" spans="1:8" x14ac:dyDescent="0.3">
      <c r="A21">
        <v>2025</v>
      </c>
      <c r="B21">
        <v>11</v>
      </c>
      <c r="C21">
        <v>46</v>
      </c>
      <c r="D21" t="s">
        <v>6</v>
      </c>
      <c r="E21">
        <v>284</v>
      </c>
      <c r="G21" s="12" t="s">
        <v>28</v>
      </c>
    </row>
    <row r="22" spans="1:8" x14ac:dyDescent="0.3">
      <c r="A22">
        <v>2025</v>
      </c>
      <c r="B22">
        <v>11</v>
      </c>
      <c r="C22">
        <v>47</v>
      </c>
      <c r="D22" t="s">
        <v>6</v>
      </c>
      <c r="E22">
        <v>399</v>
      </c>
      <c r="G22" s="5" t="s">
        <v>29</v>
      </c>
      <c r="H22" s="6" t="s">
        <v>36</v>
      </c>
    </row>
    <row r="23" spans="1:8" x14ac:dyDescent="0.3">
      <c r="A23">
        <v>2025</v>
      </c>
      <c r="B23">
        <v>11</v>
      </c>
      <c r="C23">
        <v>48</v>
      </c>
      <c r="D23" t="s">
        <v>6</v>
      </c>
      <c r="E23">
        <v>411</v>
      </c>
      <c r="G23" s="9" t="s">
        <v>30</v>
      </c>
      <c r="H23" s="10" t="s">
        <v>37</v>
      </c>
    </row>
    <row r="24" spans="1:8" x14ac:dyDescent="0.3">
      <c r="A24">
        <v>2025</v>
      </c>
      <c r="B24">
        <v>12</v>
      </c>
      <c r="C24">
        <v>49</v>
      </c>
      <c r="D24" t="s">
        <v>6</v>
      </c>
      <c r="E24">
        <v>385</v>
      </c>
      <c r="G24" s="7"/>
      <c r="H24" s="8"/>
    </row>
    <row r="25" spans="1:8" x14ac:dyDescent="0.3">
      <c r="A25">
        <v>2025</v>
      </c>
      <c r="B25">
        <v>12</v>
      </c>
      <c r="C25">
        <v>50</v>
      </c>
      <c r="D25" t="s">
        <v>6</v>
      </c>
      <c r="E25">
        <v>375</v>
      </c>
      <c r="G25" s="5" t="s">
        <v>31</v>
      </c>
      <c r="H25" s="6">
        <f>(H2-300)/(H3/SQRT(H4))</f>
        <v>4.3491594547783841</v>
      </c>
    </row>
    <row r="26" spans="1:8" x14ac:dyDescent="0.3">
      <c r="A26">
        <v>2025</v>
      </c>
      <c r="B26">
        <v>12</v>
      </c>
      <c r="C26">
        <v>51</v>
      </c>
      <c r="D26" t="s">
        <v>6</v>
      </c>
      <c r="E26">
        <v>397</v>
      </c>
      <c r="G26" s="9" t="s">
        <v>32</v>
      </c>
      <c r="H26" s="10">
        <f>1-_xlfn.T.DIST(H25,H4-1,1)</f>
        <v>2.0698091086956971E-5</v>
      </c>
    </row>
    <row r="27" spans="1:8" x14ac:dyDescent="0.3">
      <c r="A27">
        <v>2025</v>
      </c>
      <c r="B27">
        <v>12</v>
      </c>
      <c r="C27">
        <v>52</v>
      </c>
      <c r="D27" t="s">
        <v>6</v>
      </c>
      <c r="E27">
        <v>321</v>
      </c>
      <c r="G27" s="7"/>
      <c r="H27" s="8"/>
    </row>
    <row r="28" spans="1:8" x14ac:dyDescent="0.3">
      <c r="A28">
        <v>2025</v>
      </c>
      <c r="B28">
        <v>7</v>
      </c>
      <c r="C28">
        <v>27</v>
      </c>
      <c r="D28" t="s">
        <v>7</v>
      </c>
      <c r="E28">
        <v>353</v>
      </c>
      <c r="G28" s="5" t="s">
        <v>33</v>
      </c>
      <c r="H28" s="6"/>
    </row>
    <row r="29" spans="1:8" x14ac:dyDescent="0.3">
      <c r="A29">
        <v>2025</v>
      </c>
      <c r="B29">
        <v>7</v>
      </c>
      <c r="C29">
        <v>28</v>
      </c>
      <c r="D29" t="s">
        <v>7</v>
      </c>
      <c r="E29">
        <v>290</v>
      </c>
      <c r="G29" s="13" t="s">
        <v>90</v>
      </c>
      <c r="H29" s="10"/>
    </row>
    <row r="30" spans="1:8" x14ac:dyDescent="0.3">
      <c r="A30">
        <v>2025</v>
      </c>
      <c r="B30">
        <v>7</v>
      </c>
      <c r="C30">
        <v>29</v>
      </c>
      <c r="D30" t="s">
        <v>7</v>
      </c>
      <c r="E30">
        <v>359</v>
      </c>
      <c r="G30" s="9" t="s">
        <v>91</v>
      </c>
      <c r="H30" s="10"/>
    </row>
    <row r="31" spans="1:8" x14ac:dyDescent="0.3">
      <c r="A31">
        <v>2025</v>
      </c>
      <c r="B31">
        <v>7</v>
      </c>
      <c r="C31">
        <v>30</v>
      </c>
      <c r="D31" t="s">
        <v>7</v>
      </c>
      <c r="E31">
        <v>245</v>
      </c>
      <c r="G31" s="9" t="s">
        <v>92</v>
      </c>
      <c r="H31" s="10"/>
    </row>
    <row r="32" spans="1:8" x14ac:dyDescent="0.3">
      <c r="A32">
        <v>2025</v>
      </c>
      <c r="B32">
        <v>7</v>
      </c>
      <c r="C32">
        <v>31</v>
      </c>
      <c r="D32" t="s">
        <v>7</v>
      </c>
      <c r="E32">
        <v>332</v>
      </c>
      <c r="G32" s="7"/>
      <c r="H32" s="8"/>
    </row>
    <row r="33" spans="1:5" x14ac:dyDescent="0.3">
      <c r="A33">
        <v>2025</v>
      </c>
      <c r="B33">
        <v>8</v>
      </c>
      <c r="C33">
        <v>32</v>
      </c>
      <c r="D33" t="s">
        <v>7</v>
      </c>
      <c r="E33">
        <v>325</v>
      </c>
    </row>
    <row r="34" spans="1:5" x14ac:dyDescent="0.3">
      <c r="A34">
        <v>2025</v>
      </c>
      <c r="B34">
        <v>8</v>
      </c>
      <c r="C34">
        <v>33</v>
      </c>
      <c r="D34" t="s">
        <v>7</v>
      </c>
      <c r="E34">
        <v>367</v>
      </c>
    </row>
    <row r="35" spans="1:5" x14ac:dyDescent="0.3">
      <c r="A35">
        <v>2025</v>
      </c>
      <c r="B35">
        <v>8</v>
      </c>
      <c r="C35">
        <v>34</v>
      </c>
      <c r="D35" t="s">
        <v>7</v>
      </c>
      <c r="E35">
        <v>309</v>
      </c>
    </row>
    <row r="36" spans="1:5" x14ac:dyDescent="0.3">
      <c r="A36">
        <v>2025</v>
      </c>
      <c r="B36">
        <v>8</v>
      </c>
      <c r="C36">
        <v>35</v>
      </c>
      <c r="D36" t="s">
        <v>7</v>
      </c>
      <c r="E36">
        <v>282</v>
      </c>
    </row>
    <row r="37" spans="1:5" x14ac:dyDescent="0.3">
      <c r="A37">
        <v>2025</v>
      </c>
      <c r="B37">
        <v>9</v>
      </c>
      <c r="C37">
        <v>36</v>
      </c>
      <c r="D37" t="s">
        <v>7</v>
      </c>
      <c r="E37">
        <v>315</v>
      </c>
    </row>
    <row r="38" spans="1:5" x14ac:dyDescent="0.3">
      <c r="A38">
        <v>2025</v>
      </c>
      <c r="B38">
        <v>9</v>
      </c>
      <c r="C38">
        <v>37</v>
      </c>
      <c r="D38" t="s">
        <v>7</v>
      </c>
      <c r="E38">
        <v>331</v>
      </c>
    </row>
    <row r="39" spans="1:5" x14ac:dyDescent="0.3">
      <c r="A39">
        <v>2025</v>
      </c>
      <c r="B39">
        <v>9</v>
      </c>
      <c r="C39">
        <v>38</v>
      </c>
      <c r="D39" t="s">
        <v>7</v>
      </c>
      <c r="E39">
        <v>176</v>
      </c>
    </row>
    <row r="40" spans="1:5" x14ac:dyDescent="0.3">
      <c r="A40">
        <v>2025</v>
      </c>
      <c r="B40">
        <v>9</v>
      </c>
      <c r="C40">
        <v>39</v>
      </c>
      <c r="D40" t="s">
        <v>7</v>
      </c>
      <c r="E40">
        <v>325</v>
      </c>
    </row>
    <row r="41" spans="1:5" x14ac:dyDescent="0.3">
      <c r="A41">
        <v>2025</v>
      </c>
      <c r="B41">
        <v>9</v>
      </c>
      <c r="C41">
        <v>40</v>
      </c>
      <c r="D41" t="s">
        <v>7</v>
      </c>
      <c r="E41">
        <v>286</v>
      </c>
    </row>
    <row r="42" spans="1:5" x14ac:dyDescent="0.3">
      <c r="A42">
        <v>2025</v>
      </c>
      <c r="B42">
        <v>10</v>
      </c>
      <c r="C42">
        <v>41</v>
      </c>
      <c r="D42" t="s">
        <v>7</v>
      </c>
      <c r="E42">
        <v>327</v>
      </c>
    </row>
    <row r="43" spans="1:5" x14ac:dyDescent="0.3">
      <c r="A43">
        <v>2025</v>
      </c>
      <c r="B43">
        <v>10</v>
      </c>
      <c r="C43">
        <v>42</v>
      </c>
      <c r="D43" t="s">
        <v>7</v>
      </c>
      <c r="E43">
        <v>360</v>
      </c>
    </row>
    <row r="44" spans="1:5" x14ac:dyDescent="0.3">
      <c r="A44">
        <v>2025</v>
      </c>
      <c r="B44">
        <v>10</v>
      </c>
      <c r="C44">
        <v>43</v>
      </c>
      <c r="D44" t="s">
        <v>7</v>
      </c>
      <c r="E44">
        <v>287</v>
      </c>
    </row>
    <row r="45" spans="1:5" x14ac:dyDescent="0.3">
      <c r="A45">
        <v>2025</v>
      </c>
      <c r="B45">
        <v>10</v>
      </c>
      <c r="C45">
        <v>44</v>
      </c>
      <c r="D45" t="s">
        <v>7</v>
      </c>
      <c r="E45">
        <v>397</v>
      </c>
    </row>
    <row r="46" spans="1:5" x14ac:dyDescent="0.3">
      <c r="A46">
        <v>2025</v>
      </c>
      <c r="B46">
        <v>11</v>
      </c>
      <c r="C46">
        <v>45</v>
      </c>
      <c r="D46" t="s">
        <v>7</v>
      </c>
      <c r="E46">
        <v>307</v>
      </c>
    </row>
    <row r="47" spans="1:5" x14ac:dyDescent="0.3">
      <c r="A47">
        <v>2025</v>
      </c>
      <c r="B47">
        <v>11</v>
      </c>
      <c r="C47">
        <v>46</v>
      </c>
      <c r="D47" t="s">
        <v>7</v>
      </c>
      <c r="E47">
        <v>335</v>
      </c>
    </row>
    <row r="48" spans="1:5" x14ac:dyDescent="0.3">
      <c r="A48">
        <v>2025</v>
      </c>
      <c r="B48">
        <v>11</v>
      </c>
      <c r="C48">
        <v>47</v>
      </c>
      <c r="D48" t="s">
        <v>7</v>
      </c>
      <c r="E48">
        <v>418</v>
      </c>
    </row>
    <row r="49" spans="1:5" x14ac:dyDescent="0.3">
      <c r="A49">
        <v>2025</v>
      </c>
      <c r="B49">
        <v>11</v>
      </c>
      <c r="C49">
        <v>48</v>
      </c>
      <c r="D49" t="s">
        <v>7</v>
      </c>
      <c r="E49">
        <v>382</v>
      </c>
    </row>
    <row r="50" spans="1:5" x14ac:dyDescent="0.3">
      <c r="A50">
        <v>2025</v>
      </c>
      <c r="B50">
        <v>12</v>
      </c>
      <c r="C50">
        <v>49</v>
      </c>
      <c r="D50" t="s">
        <v>7</v>
      </c>
      <c r="E50">
        <v>372</v>
      </c>
    </row>
    <row r="51" spans="1:5" x14ac:dyDescent="0.3">
      <c r="A51">
        <v>2025</v>
      </c>
      <c r="B51">
        <v>12</v>
      </c>
      <c r="C51">
        <v>50</v>
      </c>
      <c r="D51" t="s">
        <v>7</v>
      </c>
      <c r="E51">
        <v>344</v>
      </c>
    </row>
    <row r="52" spans="1:5" x14ac:dyDescent="0.3">
      <c r="A52">
        <v>2025</v>
      </c>
      <c r="B52">
        <v>12</v>
      </c>
      <c r="C52">
        <v>51</v>
      </c>
      <c r="D52" t="s">
        <v>7</v>
      </c>
      <c r="E52">
        <v>389</v>
      </c>
    </row>
    <row r="53" spans="1:5" x14ac:dyDescent="0.3">
      <c r="A53">
        <v>2025</v>
      </c>
      <c r="B53">
        <v>12</v>
      </c>
      <c r="C53">
        <v>52</v>
      </c>
      <c r="D53" t="s">
        <v>7</v>
      </c>
      <c r="E53">
        <v>254</v>
      </c>
    </row>
    <row r="54" spans="1:5" x14ac:dyDescent="0.3">
      <c r="A54">
        <v>2025</v>
      </c>
      <c r="B54">
        <v>7</v>
      </c>
      <c r="C54">
        <v>27</v>
      </c>
      <c r="D54" t="s">
        <v>8</v>
      </c>
      <c r="E54">
        <v>223</v>
      </c>
    </row>
    <row r="55" spans="1:5" x14ac:dyDescent="0.3">
      <c r="A55">
        <v>2025</v>
      </c>
      <c r="B55">
        <v>7</v>
      </c>
      <c r="C55">
        <v>28</v>
      </c>
      <c r="D55" t="s">
        <v>8</v>
      </c>
      <c r="E55">
        <v>278</v>
      </c>
    </row>
    <row r="56" spans="1:5" x14ac:dyDescent="0.3">
      <c r="A56">
        <v>2025</v>
      </c>
      <c r="B56">
        <v>7</v>
      </c>
      <c r="C56">
        <v>29</v>
      </c>
      <c r="D56" t="s">
        <v>8</v>
      </c>
      <c r="E56">
        <v>335</v>
      </c>
    </row>
    <row r="57" spans="1:5" x14ac:dyDescent="0.3">
      <c r="A57">
        <v>2025</v>
      </c>
      <c r="B57">
        <v>7</v>
      </c>
      <c r="C57">
        <v>30</v>
      </c>
      <c r="D57" t="s">
        <v>8</v>
      </c>
      <c r="E57">
        <v>338</v>
      </c>
    </row>
    <row r="58" spans="1:5" x14ac:dyDescent="0.3">
      <c r="A58">
        <v>2025</v>
      </c>
      <c r="B58">
        <v>7</v>
      </c>
      <c r="C58">
        <v>31</v>
      </c>
      <c r="D58" t="s">
        <v>8</v>
      </c>
      <c r="E58">
        <v>332</v>
      </c>
    </row>
    <row r="59" spans="1:5" x14ac:dyDescent="0.3">
      <c r="A59">
        <v>2025</v>
      </c>
      <c r="B59">
        <v>8</v>
      </c>
      <c r="C59">
        <v>32</v>
      </c>
      <c r="D59" t="s">
        <v>8</v>
      </c>
      <c r="E59">
        <v>257</v>
      </c>
    </row>
    <row r="60" spans="1:5" x14ac:dyDescent="0.3">
      <c r="A60">
        <v>2025</v>
      </c>
      <c r="B60">
        <v>8</v>
      </c>
      <c r="C60">
        <v>33</v>
      </c>
      <c r="D60" t="s">
        <v>8</v>
      </c>
      <c r="E60">
        <v>320</v>
      </c>
    </row>
    <row r="61" spans="1:5" x14ac:dyDescent="0.3">
      <c r="A61">
        <v>2025</v>
      </c>
      <c r="B61">
        <v>8</v>
      </c>
      <c r="C61">
        <v>34</v>
      </c>
      <c r="D61" t="s">
        <v>8</v>
      </c>
      <c r="E61">
        <v>297</v>
      </c>
    </row>
    <row r="62" spans="1:5" x14ac:dyDescent="0.3">
      <c r="A62">
        <v>2025</v>
      </c>
      <c r="B62">
        <v>8</v>
      </c>
      <c r="C62">
        <v>35</v>
      </c>
      <c r="D62" t="s">
        <v>8</v>
      </c>
      <c r="E62">
        <v>271</v>
      </c>
    </row>
    <row r="63" spans="1:5" x14ac:dyDescent="0.3">
      <c r="A63">
        <v>2025</v>
      </c>
      <c r="B63">
        <v>9</v>
      </c>
      <c r="C63">
        <v>36</v>
      </c>
      <c r="D63" t="s">
        <v>8</v>
      </c>
      <c r="E63">
        <v>298</v>
      </c>
    </row>
    <row r="64" spans="1:5" x14ac:dyDescent="0.3">
      <c r="A64">
        <v>2025</v>
      </c>
      <c r="B64">
        <v>9</v>
      </c>
      <c r="C64">
        <v>37</v>
      </c>
      <c r="D64" t="s">
        <v>8</v>
      </c>
      <c r="E64">
        <v>353</v>
      </c>
    </row>
    <row r="65" spans="1:5" x14ac:dyDescent="0.3">
      <c r="A65">
        <v>2025</v>
      </c>
      <c r="B65">
        <v>9</v>
      </c>
      <c r="C65">
        <v>38</v>
      </c>
      <c r="D65" t="s">
        <v>8</v>
      </c>
      <c r="E65">
        <v>357</v>
      </c>
    </row>
    <row r="66" spans="1:5" x14ac:dyDescent="0.3">
      <c r="A66">
        <v>2025</v>
      </c>
      <c r="B66">
        <v>9</v>
      </c>
      <c r="C66">
        <v>39</v>
      </c>
      <c r="D66" t="s">
        <v>8</v>
      </c>
      <c r="E66">
        <v>362</v>
      </c>
    </row>
    <row r="67" spans="1:5" x14ac:dyDescent="0.3">
      <c r="A67">
        <v>2025</v>
      </c>
      <c r="B67">
        <v>9</v>
      </c>
      <c r="C67">
        <v>40</v>
      </c>
      <c r="D67" t="s">
        <v>8</v>
      </c>
      <c r="E67">
        <v>322</v>
      </c>
    </row>
    <row r="68" spans="1:5" x14ac:dyDescent="0.3">
      <c r="A68">
        <v>2025</v>
      </c>
      <c r="B68">
        <v>10</v>
      </c>
      <c r="C68">
        <v>41</v>
      </c>
      <c r="D68" t="s">
        <v>8</v>
      </c>
      <c r="E68">
        <v>344</v>
      </c>
    </row>
    <row r="69" spans="1:5" x14ac:dyDescent="0.3">
      <c r="A69">
        <v>2025</v>
      </c>
      <c r="B69">
        <v>10</v>
      </c>
      <c r="C69">
        <v>42</v>
      </c>
      <c r="D69" t="s">
        <v>8</v>
      </c>
      <c r="E69">
        <v>298</v>
      </c>
    </row>
    <row r="70" spans="1:5" x14ac:dyDescent="0.3">
      <c r="A70">
        <v>2025</v>
      </c>
      <c r="B70">
        <v>10</v>
      </c>
      <c r="C70">
        <v>43</v>
      </c>
      <c r="D70" t="s">
        <v>8</v>
      </c>
      <c r="E70">
        <v>293</v>
      </c>
    </row>
    <row r="71" spans="1:5" x14ac:dyDescent="0.3">
      <c r="A71">
        <v>2025</v>
      </c>
      <c r="B71">
        <v>10</v>
      </c>
      <c r="C71">
        <v>44</v>
      </c>
      <c r="D71" t="s">
        <v>8</v>
      </c>
      <c r="E71">
        <v>273</v>
      </c>
    </row>
    <row r="72" spans="1:5" x14ac:dyDescent="0.3">
      <c r="A72">
        <v>2025</v>
      </c>
      <c r="B72">
        <v>11</v>
      </c>
      <c r="C72">
        <v>45</v>
      </c>
      <c r="D72" t="s">
        <v>8</v>
      </c>
      <c r="E72">
        <v>419</v>
      </c>
    </row>
    <row r="73" spans="1:5" x14ac:dyDescent="0.3">
      <c r="A73">
        <v>2025</v>
      </c>
      <c r="B73">
        <v>11</v>
      </c>
      <c r="C73">
        <v>46</v>
      </c>
      <c r="D73" t="s">
        <v>8</v>
      </c>
      <c r="E73">
        <v>417</v>
      </c>
    </row>
    <row r="74" spans="1:5" x14ac:dyDescent="0.3">
      <c r="A74">
        <v>2025</v>
      </c>
      <c r="B74">
        <v>11</v>
      </c>
      <c r="C74">
        <v>47</v>
      </c>
      <c r="D74" t="s">
        <v>8</v>
      </c>
      <c r="E74">
        <v>403</v>
      </c>
    </row>
    <row r="75" spans="1:5" x14ac:dyDescent="0.3">
      <c r="A75">
        <v>2025</v>
      </c>
      <c r="B75">
        <v>11</v>
      </c>
      <c r="C75">
        <v>48</v>
      </c>
      <c r="D75" t="s">
        <v>8</v>
      </c>
      <c r="E75">
        <v>413</v>
      </c>
    </row>
    <row r="76" spans="1:5" x14ac:dyDescent="0.3">
      <c r="A76">
        <v>2025</v>
      </c>
      <c r="B76">
        <v>12</v>
      </c>
      <c r="C76">
        <v>49</v>
      </c>
      <c r="D76" t="s">
        <v>8</v>
      </c>
      <c r="E76">
        <v>373</v>
      </c>
    </row>
    <row r="77" spans="1:5" x14ac:dyDescent="0.3">
      <c r="A77">
        <v>2025</v>
      </c>
      <c r="B77">
        <v>12</v>
      </c>
      <c r="C77">
        <v>50</v>
      </c>
      <c r="D77" t="s">
        <v>8</v>
      </c>
      <c r="E77">
        <v>379</v>
      </c>
    </row>
    <row r="78" spans="1:5" x14ac:dyDescent="0.3">
      <c r="A78">
        <v>2025</v>
      </c>
      <c r="B78">
        <v>12</v>
      </c>
      <c r="C78">
        <v>51</v>
      </c>
      <c r="D78" t="s">
        <v>8</v>
      </c>
      <c r="E78">
        <v>321</v>
      </c>
    </row>
    <row r="79" spans="1:5" x14ac:dyDescent="0.3">
      <c r="A79">
        <v>2025</v>
      </c>
      <c r="B79">
        <v>12</v>
      </c>
      <c r="C79">
        <v>52</v>
      </c>
      <c r="D79" t="s">
        <v>8</v>
      </c>
      <c r="E79">
        <v>216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DD05-0E1A-465F-A9B8-AF78504A7BE1}">
  <dimension ref="A1:B63"/>
  <sheetViews>
    <sheetView workbookViewId="0">
      <selection activeCell="B5" sqref="B5"/>
    </sheetView>
  </sheetViews>
  <sheetFormatPr defaultRowHeight="14.4" x14ac:dyDescent="0.3"/>
  <cols>
    <col min="1" max="1" width="16.44140625" bestFit="1" customWidth="1"/>
    <col min="2" max="2" width="15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281</v>
      </c>
      <c r="B2">
        <v>2</v>
      </c>
    </row>
    <row r="3" spans="1:2" x14ac:dyDescent="0.3">
      <c r="A3">
        <v>284</v>
      </c>
      <c r="B3">
        <v>2</v>
      </c>
    </row>
    <row r="4" spans="1:2" x14ac:dyDescent="0.3">
      <c r="A4">
        <v>338</v>
      </c>
      <c r="B4">
        <v>2</v>
      </c>
    </row>
    <row r="5" spans="1:2" x14ac:dyDescent="0.3">
      <c r="A5">
        <v>348</v>
      </c>
      <c r="B5">
        <v>2</v>
      </c>
    </row>
    <row r="6" spans="1:2" x14ac:dyDescent="0.3">
      <c r="A6">
        <v>294</v>
      </c>
      <c r="B6">
        <v>1</v>
      </c>
    </row>
    <row r="7" spans="1:2" x14ac:dyDescent="0.3">
      <c r="A7">
        <v>325</v>
      </c>
      <c r="B7">
        <v>3</v>
      </c>
    </row>
    <row r="8" spans="1:2" x14ac:dyDescent="0.3">
      <c r="A8">
        <v>268</v>
      </c>
      <c r="B8">
        <v>1</v>
      </c>
    </row>
    <row r="9" spans="1:2" x14ac:dyDescent="0.3">
      <c r="A9">
        <v>263</v>
      </c>
      <c r="B9">
        <v>1</v>
      </c>
    </row>
    <row r="10" spans="1:2" x14ac:dyDescent="0.3">
      <c r="A10">
        <v>267</v>
      </c>
      <c r="B10">
        <v>1</v>
      </c>
    </row>
    <row r="11" spans="1:2" x14ac:dyDescent="0.3">
      <c r="A11">
        <v>232</v>
      </c>
      <c r="B11">
        <v>1</v>
      </c>
    </row>
    <row r="12" spans="1:2" x14ac:dyDescent="0.3">
      <c r="A12">
        <v>330</v>
      </c>
      <c r="B12">
        <v>1</v>
      </c>
    </row>
    <row r="13" spans="1:2" x14ac:dyDescent="0.3">
      <c r="A13">
        <v>282</v>
      </c>
      <c r="B13">
        <v>2</v>
      </c>
    </row>
    <row r="14" spans="1:2" x14ac:dyDescent="0.3">
      <c r="A14">
        <v>367</v>
      </c>
      <c r="B14">
        <v>2</v>
      </c>
    </row>
    <row r="15" spans="1:2" x14ac:dyDescent="0.3">
      <c r="A15">
        <v>322</v>
      </c>
      <c r="B15">
        <v>2</v>
      </c>
    </row>
    <row r="16" spans="1:2" x14ac:dyDescent="0.3">
      <c r="A16">
        <v>396</v>
      </c>
      <c r="B16">
        <v>1</v>
      </c>
    </row>
    <row r="17" spans="1:2" x14ac:dyDescent="0.3">
      <c r="A17">
        <v>346</v>
      </c>
      <c r="B17">
        <v>1</v>
      </c>
    </row>
    <row r="18" spans="1:2" x14ac:dyDescent="0.3">
      <c r="A18">
        <v>302</v>
      </c>
      <c r="B18">
        <v>1</v>
      </c>
    </row>
    <row r="19" spans="1:2" x14ac:dyDescent="0.3">
      <c r="A19">
        <v>399</v>
      </c>
      <c r="B19">
        <v>1</v>
      </c>
    </row>
    <row r="20" spans="1:2" x14ac:dyDescent="0.3">
      <c r="A20">
        <v>411</v>
      </c>
      <c r="B20">
        <v>1</v>
      </c>
    </row>
    <row r="21" spans="1:2" x14ac:dyDescent="0.3">
      <c r="A21">
        <v>385</v>
      </c>
      <c r="B21">
        <v>1</v>
      </c>
    </row>
    <row r="22" spans="1:2" x14ac:dyDescent="0.3">
      <c r="A22">
        <v>375</v>
      </c>
      <c r="B22">
        <v>1</v>
      </c>
    </row>
    <row r="23" spans="1:2" x14ac:dyDescent="0.3">
      <c r="A23">
        <v>397</v>
      </c>
      <c r="B23">
        <v>2</v>
      </c>
    </row>
    <row r="24" spans="1:2" x14ac:dyDescent="0.3">
      <c r="A24">
        <v>321</v>
      </c>
      <c r="B24">
        <v>2</v>
      </c>
    </row>
    <row r="25" spans="1:2" x14ac:dyDescent="0.3">
      <c r="A25">
        <v>353</v>
      </c>
      <c r="B25">
        <v>2</v>
      </c>
    </row>
    <row r="26" spans="1:2" x14ac:dyDescent="0.3">
      <c r="A26">
        <v>290</v>
      </c>
      <c r="B26">
        <v>1</v>
      </c>
    </row>
    <row r="27" spans="1:2" x14ac:dyDescent="0.3">
      <c r="A27">
        <v>359</v>
      </c>
      <c r="B27">
        <v>1</v>
      </c>
    </row>
    <row r="28" spans="1:2" x14ac:dyDescent="0.3">
      <c r="A28">
        <v>245</v>
      </c>
      <c r="B28">
        <v>1</v>
      </c>
    </row>
    <row r="29" spans="1:2" x14ac:dyDescent="0.3">
      <c r="A29">
        <v>332</v>
      </c>
      <c r="B29">
        <v>2</v>
      </c>
    </row>
    <row r="30" spans="1:2" x14ac:dyDescent="0.3">
      <c r="A30">
        <v>309</v>
      </c>
      <c r="B30">
        <v>1</v>
      </c>
    </row>
    <row r="31" spans="1:2" x14ac:dyDescent="0.3">
      <c r="A31">
        <v>315</v>
      </c>
      <c r="B31">
        <v>1</v>
      </c>
    </row>
    <row r="32" spans="1:2" x14ac:dyDescent="0.3">
      <c r="A32">
        <v>331</v>
      </c>
      <c r="B32">
        <v>1</v>
      </c>
    </row>
    <row r="33" spans="1:2" x14ac:dyDescent="0.3">
      <c r="A33">
        <v>176</v>
      </c>
      <c r="B33">
        <v>1</v>
      </c>
    </row>
    <row r="34" spans="1:2" x14ac:dyDescent="0.3">
      <c r="A34">
        <v>286</v>
      </c>
      <c r="B34">
        <v>1</v>
      </c>
    </row>
    <row r="35" spans="1:2" x14ac:dyDescent="0.3">
      <c r="A35">
        <v>327</v>
      </c>
      <c r="B35">
        <v>1</v>
      </c>
    </row>
    <row r="36" spans="1:2" x14ac:dyDescent="0.3">
      <c r="A36">
        <v>360</v>
      </c>
      <c r="B36">
        <v>1</v>
      </c>
    </row>
    <row r="37" spans="1:2" x14ac:dyDescent="0.3">
      <c r="A37">
        <v>287</v>
      </c>
      <c r="B37">
        <v>1</v>
      </c>
    </row>
    <row r="38" spans="1:2" x14ac:dyDescent="0.3">
      <c r="A38">
        <v>307</v>
      </c>
      <c r="B38">
        <v>1</v>
      </c>
    </row>
    <row r="39" spans="1:2" x14ac:dyDescent="0.3">
      <c r="A39">
        <v>335</v>
      </c>
      <c r="B39">
        <v>2</v>
      </c>
    </row>
    <row r="40" spans="1:2" x14ac:dyDescent="0.3">
      <c r="A40">
        <v>418</v>
      </c>
      <c r="B40">
        <v>1</v>
      </c>
    </row>
    <row r="41" spans="1:2" x14ac:dyDescent="0.3">
      <c r="A41">
        <v>382</v>
      </c>
      <c r="B41">
        <v>1</v>
      </c>
    </row>
    <row r="42" spans="1:2" x14ac:dyDescent="0.3">
      <c r="A42">
        <v>372</v>
      </c>
      <c r="B42">
        <v>1</v>
      </c>
    </row>
    <row r="43" spans="1:2" x14ac:dyDescent="0.3">
      <c r="A43">
        <v>344</v>
      </c>
      <c r="B43">
        <v>2</v>
      </c>
    </row>
    <row r="44" spans="1:2" x14ac:dyDescent="0.3">
      <c r="A44">
        <v>389</v>
      </c>
      <c r="B44">
        <v>1</v>
      </c>
    </row>
    <row r="45" spans="1:2" x14ac:dyDescent="0.3">
      <c r="A45">
        <v>254</v>
      </c>
      <c r="B45">
        <v>1</v>
      </c>
    </row>
    <row r="46" spans="1:2" x14ac:dyDescent="0.3">
      <c r="A46">
        <v>223</v>
      </c>
      <c r="B46">
        <v>1</v>
      </c>
    </row>
    <row r="47" spans="1:2" x14ac:dyDescent="0.3">
      <c r="A47">
        <v>278</v>
      </c>
      <c r="B47">
        <v>1</v>
      </c>
    </row>
    <row r="48" spans="1:2" x14ac:dyDescent="0.3">
      <c r="A48">
        <v>257</v>
      </c>
      <c r="B48">
        <v>1</v>
      </c>
    </row>
    <row r="49" spans="1:2" x14ac:dyDescent="0.3">
      <c r="A49">
        <v>320</v>
      </c>
      <c r="B49">
        <v>1</v>
      </c>
    </row>
    <row r="50" spans="1:2" x14ac:dyDescent="0.3">
      <c r="A50">
        <v>297</v>
      </c>
      <c r="B50">
        <v>1</v>
      </c>
    </row>
    <row r="51" spans="1:2" x14ac:dyDescent="0.3">
      <c r="A51">
        <v>271</v>
      </c>
      <c r="B51">
        <v>1</v>
      </c>
    </row>
    <row r="52" spans="1:2" x14ac:dyDescent="0.3">
      <c r="A52">
        <v>298</v>
      </c>
      <c r="B52">
        <v>2</v>
      </c>
    </row>
    <row r="53" spans="1:2" x14ac:dyDescent="0.3">
      <c r="A53">
        <v>357</v>
      </c>
      <c r="B53">
        <v>1</v>
      </c>
    </row>
    <row r="54" spans="1:2" x14ac:dyDescent="0.3">
      <c r="A54">
        <v>362</v>
      </c>
      <c r="B54">
        <v>1</v>
      </c>
    </row>
    <row r="55" spans="1:2" x14ac:dyDescent="0.3">
      <c r="A55">
        <v>293</v>
      </c>
      <c r="B55">
        <v>1</v>
      </c>
    </row>
    <row r="56" spans="1:2" x14ac:dyDescent="0.3">
      <c r="A56">
        <v>273</v>
      </c>
      <c r="B56">
        <v>1</v>
      </c>
    </row>
    <row r="57" spans="1:2" x14ac:dyDescent="0.3">
      <c r="A57">
        <v>419</v>
      </c>
      <c r="B57">
        <v>1</v>
      </c>
    </row>
    <row r="58" spans="1:2" x14ac:dyDescent="0.3">
      <c r="A58">
        <v>417</v>
      </c>
      <c r="B58">
        <v>1</v>
      </c>
    </row>
    <row r="59" spans="1:2" x14ac:dyDescent="0.3">
      <c r="A59">
        <v>403</v>
      </c>
      <c r="B59">
        <v>1</v>
      </c>
    </row>
    <row r="60" spans="1:2" x14ac:dyDescent="0.3">
      <c r="A60">
        <v>413</v>
      </c>
      <c r="B60">
        <v>1</v>
      </c>
    </row>
    <row r="61" spans="1:2" x14ac:dyDescent="0.3">
      <c r="A61">
        <v>373</v>
      </c>
      <c r="B61">
        <v>1</v>
      </c>
    </row>
    <row r="62" spans="1:2" x14ac:dyDescent="0.3">
      <c r="A62">
        <v>379</v>
      </c>
      <c r="B62">
        <v>1</v>
      </c>
    </row>
    <row r="63" spans="1:2" x14ac:dyDescent="0.3">
      <c r="A63">
        <v>216</v>
      </c>
      <c r="B63">
        <v>1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B0D946-8ECD-4B02-863A-D2F668CB3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opt_demand</vt:lpstr>
      <vt:lpstr>df_test</vt:lpstr>
      <vt:lpstr>df_train</vt:lpstr>
      <vt:lpstr>df_sample</vt:lpstr>
      <vt:lpstr>inv_cal</vt:lpstr>
      <vt:lpstr>inv_chart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2026-03-03T03:18:24Z</dcterms:created>
  <dcterms:modified xsi:type="dcterms:W3CDTF">2026-03-12T06:47:06Z</dcterms:modified>
</cp:coreProperties>
</file>